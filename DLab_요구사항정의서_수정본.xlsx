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회신대비 누락·확인" sheetId="1" state="visible" r:id="rId3"/>
    <sheet name="1.화면별 요구사항(통합관리)" sheetId="2" state="visible" r:id="rId4"/>
    <sheet name="2.화면별 요구사항(앱)" sheetId="3" state="visible" r:id="rId5"/>
    <sheet name="3.데이터·업무로직 정의" sheetId="4" state="visible" r:id="rId6"/>
    <sheet name="4.메뉴 매핑" sheetId="5" state="visible" r:id="rId7"/>
    <sheet name="5. 리스크" sheetId="6" state="visible" r:id="rId8"/>
    <sheet name="6. 오픈이슈 관리대장" sheetId="7" state="visible" r:id="rId9"/>
  </sheets>
  <definedNames>
    <definedName function="false" hidden="true" localSheetId="1" name="_xlnm._FilterDatabase" vbProcedure="false">'1.화면별 요구사항(통합관리)'!$A$1:$J$1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<sst xmlns="http://schemas.openxmlformats.org/spreadsheetml/2006/main" count="1826" uniqueCount="1196">
  <si>
    <r>
      <rPr>
        <b val="true"/>
        <sz val="13"/>
        <color theme="1"/>
        <rFont val="Cambria"/>
        <family val="0"/>
        <charset val="1"/>
      </rPr>
      <t xml:space="preserve">DLab </t>
    </r>
    <r>
      <rPr>
        <b val="true"/>
        <sz val="13"/>
        <color theme="1"/>
        <rFont val="Noto Sans CJK SC"/>
        <family val="2"/>
      </rPr>
      <t xml:space="preserve">요구사항정의서 — </t>
    </r>
    <r>
      <rPr>
        <b val="true"/>
        <sz val="13"/>
        <color theme="1"/>
        <rFont val="Cambria"/>
        <family val="0"/>
        <charset val="1"/>
      </rPr>
      <t xml:space="preserve">DSA </t>
    </r>
    <r>
      <rPr>
        <b val="true"/>
        <sz val="13"/>
        <color theme="1"/>
        <rFont val="Noto Sans CJK SC"/>
        <family val="2"/>
      </rPr>
      <t xml:space="preserve">기능확인 회신 대비 누락</t>
    </r>
    <r>
      <rPr>
        <b val="true"/>
        <sz val="13"/>
        <color theme="1"/>
        <rFont val="Cambria"/>
        <family val="0"/>
        <charset val="1"/>
      </rPr>
      <t xml:space="preserve">·</t>
    </r>
    <r>
      <rPr>
        <b val="true"/>
        <sz val="13"/>
        <color theme="1"/>
        <rFont val="Noto Sans CJK SC"/>
        <family val="2"/>
      </rPr>
      <t xml:space="preserve">확인필요 반영 요약</t>
    </r>
  </si>
  <si>
    <t xml:space="preserve">구분</t>
  </si>
  <si>
    <r>
      <rPr>
        <b val="true"/>
        <sz val="11"/>
        <color rgb="FFFFFFFF"/>
        <rFont val="Noto Sans CJK SC"/>
        <family val="2"/>
      </rPr>
      <t xml:space="preserve">항목</t>
    </r>
    <r>
      <rPr>
        <b val="true"/>
        <sz val="11"/>
        <color rgb="FFFFFFFF"/>
        <rFont val="Noto Sans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회신 </t>
    </r>
    <r>
      <rPr>
        <b val="true"/>
        <sz val="11"/>
        <color rgb="FFFFFFFF"/>
        <rFont val="Noto Sans"/>
        <family val="0"/>
        <charset val="1"/>
      </rPr>
      <t xml:space="preserve">'</t>
    </r>
    <r>
      <rPr>
        <b val="true"/>
        <sz val="11"/>
        <color rgb="FFFFFFFF"/>
        <rFont val="Noto Sans CJK SC"/>
        <family val="2"/>
      </rPr>
      <t xml:space="preserve">사용</t>
    </r>
    <r>
      <rPr>
        <b val="true"/>
        <sz val="11"/>
        <color rgb="FFFFFFFF"/>
        <rFont val="Noto Sans"/>
        <family val="0"/>
        <charset val="1"/>
      </rPr>
      <t xml:space="preserve">')</t>
    </r>
  </si>
  <si>
    <t xml:space="preserve">회신 상태</t>
  </si>
  <si>
    <r>
      <rPr>
        <b val="true"/>
        <sz val="11"/>
        <color rgb="FFFFFFFF"/>
        <rFont val="Cambria"/>
        <family val="0"/>
        <charset val="1"/>
      </rPr>
      <t xml:space="preserve">DLab </t>
    </r>
    <r>
      <rPr>
        <b val="true"/>
        <sz val="11"/>
        <color rgb="FFFFFFFF"/>
        <rFont val="Noto Sans CJK SC"/>
        <family val="2"/>
      </rPr>
      <t xml:space="preserve">현황</t>
    </r>
  </si>
  <si>
    <t xml:space="preserve">조치</t>
  </si>
  <si>
    <r>
      <rPr>
        <b val="true"/>
        <sz val="11"/>
        <color rgb="FFFFFFFF"/>
        <rFont val="Noto Sans CJK SC"/>
        <family val="2"/>
      </rPr>
      <t xml:space="preserve">반영 위치 </t>
    </r>
    <r>
      <rPr>
        <b val="true"/>
        <sz val="11"/>
        <color rgb="FFFFFFFF"/>
        <rFont val="Noto Sans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이슈</t>
    </r>
  </si>
  <si>
    <t xml:space="preserve">누락 → 반영</t>
  </si>
  <si>
    <t xml:space="preserve">금일 수정 이력</t>
  </si>
  <si>
    <t xml:space="preserve">사용</t>
  </si>
  <si>
    <r>
      <rPr>
        <sz val="11"/>
        <color theme="1"/>
        <rFont val="Noto Sans CJK SC"/>
        <family val="2"/>
      </rPr>
      <t xml:space="preserve">대응 화면 없음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감사컬럼만 존재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조회 화면 미정의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</si>
  <si>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요구사항 신설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변경 이력 조회</t>
    </r>
    <r>
      <rPr>
        <sz val="11"/>
        <color theme="1"/>
        <rFont val="Noto Sans"/>
        <family val="0"/>
        <charset val="1"/>
      </rPr>
      <t xml:space="preserve">)</t>
    </r>
  </si>
  <si>
    <t xml:space="preserve">F-4.10-8 / #50</t>
  </si>
  <si>
    <r>
      <rPr>
        <sz val="11"/>
        <color theme="1"/>
        <rFont val="Noto Sans CJK SC"/>
        <family val="2"/>
      </rPr>
      <t xml:space="preserve">시간표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이동수업</t>
    </r>
  </si>
  <si>
    <r>
      <rPr>
        <sz val="11"/>
        <color theme="1"/>
        <rFont val="Noto Sans CJK SC"/>
        <family val="2"/>
      </rPr>
      <t xml:space="preserve">이동수업 배정</t>
    </r>
    <r>
      <rPr>
        <sz val="11"/>
        <color theme="1"/>
        <rFont val="Noto Sans"/>
        <family val="0"/>
        <charset val="1"/>
      </rPr>
      <t xml:space="preserve">(F-4.1-5)</t>
    </r>
    <r>
      <rPr>
        <sz val="11"/>
        <color theme="1"/>
        <rFont val="Noto Sans CJK SC"/>
        <family val="2"/>
      </rPr>
      <t xml:space="preserve">만 커버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수업 시간표 관리 미정의</t>
    </r>
  </si>
  <si>
    <r>
      <rPr>
        <sz val="11"/>
        <color theme="1"/>
        <rFont val="Noto Sans CJK SC"/>
        <family val="2"/>
      </rPr>
      <t xml:space="preserve">요구사항 신설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수업 시간표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이동수업 관리</t>
    </r>
    <r>
      <rPr>
        <sz val="11"/>
        <color theme="1"/>
        <rFont val="Noto Sans"/>
        <family val="0"/>
        <charset val="1"/>
      </rPr>
      <t xml:space="preserve">)</t>
    </r>
  </si>
  <si>
    <t xml:space="preserve">F-4.9-2 / #49</t>
  </si>
  <si>
    <t xml:space="preserve">확인필요</t>
  </si>
  <si>
    <t xml:space="preserve">학과계열 관리</t>
  </si>
  <si>
    <r>
      <rPr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계열</t>
    </r>
    <r>
      <rPr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은 반배정 속성으로만 존재</t>
    </r>
    <r>
      <rPr>
        <sz val="11"/>
        <color theme="1"/>
        <rFont val="Calibri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계열 마스터 화면 명시 없음</t>
    </r>
  </si>
  <si>
    <r>
      <rPr>
        <sz val="11"/>
        <color theme="1"/>
        <rFont val="Noto Sans CJK SC"/>
        <family val="2"/>
      </rPr>
      <t xml:space="preserve">기초 관리</t>
    </r>
    <r>
      <rPr>
        <sz val="11"/>
        <color theme="1"/>
        <rFont val="Noto Sans"/>
        <family val="0"/>
        <charset val="1"/>
      </rPr>
      <t xml:space="preserve">(F-4.10-1) </t>
    </r>
    <r>
      <rPr>
        <sz val="11"/>
        <color theme="1"/>
        <rFont val="Noto Sans CJK SC"/>
        <family val="2"/>
      </rPr>
      <t xml:space="preserve">포함 여부 확인</t>
    </r>
  </si>
  <si>
    <t xml:space="preserve">#51</t>
  </si>
  <si>
    <t xml:space="preserve">학원생 현황</t>
  </si>
  <si>
    <t xml:space="preserve">명시적 매핑 없음</t>
  </si>
  <si>
    <r>
      <rPr>
        <sz val="11"/>
        <color theme="1"/>
        <rFont val="Calibri"/>
        <family val="0"/>
        <charset val="1"/>
      </rPr>
      <t xml:space="preserve">F-4.1-1/F-4.1-8 </t>
    </r>
    <r>
      <rPr>
        <sz val="11"/>
        <color theme="1"/>
        <rFont val="Noto Sans CJK SC"/>
        <family val="2"/>
      </rPr>
      <t xml:space="preserve">커버 범위 확인</t>
    </r>
  </si>
  <si>
    <t xml:space="preserve">#52</t>
  </si>
  <si>
    <r>
      <rPr>
        <i val="true"/>
        <sz val="11"/>
        <color rgb="FF555555"/>
        <rFont val="Noto Sans CJK SC"/>
        <family val="2"/>
      </rPr>
      <t xml:space="preserve">참고 — 회신 </t>
    </r>
    <r>
      <rPr>
        <i val="true"/>
        <sz val="11"/>
        <color rgb="FF555555"/>
        <rFont val="Noto Sans"/>
        <family val="0"/>
        <charset val="1"/>
      </rPr>
      <t xml:space="preserve">'</t>
    </r>
    <r>
      <rPr>
        <i val="true"/>
        <sz val="11"/>
        <color rgb="FF555555"/>
        <rFont val="Noto Sans CJK SC"/>
        <family val="2"/>
      </rPr>
      <t xml:space="preserve">사용</t>
    </r>
    <r>
      <rPr>
        <i val="true"/>
        <sz val="11"/>
        <color rgb="FF555555"/>
        <rFont val="Noto Sans"/>
        <family val="0"/>
        <charset val="1"/>
      </rPr>
      <t xml:space="preserve">' 19</t>
    </r>
    <r>
      <rPr>
        <i val="true"/>
        <sz val="11"/>
        <color rgb="FF555555"/>
        <rFont val="Noto Sans CJK SC"/>
        <family val="2"/>
      </rPr>
      <t xml:space="preserve">건 중 위 </t>
    </r>
    <r>
      <rPr>
        <i val="true"/>
        <sz val="11"/>
        <color rgb="FF555555"/>
        <rFont val="Noto Sans"/>
        <family val="0"/>
        <charset val="1"/>
      </rPr>
      <t xml:space="preserve">4</t>
    </r>
    <r>
      <rPr>
        <i val="true"/>
        <sz val="11"/>
        <color rgb="FF555555"/>
        <rFont val="Noto Sans CJK SC"/>
        <family val="2"/>
      </rPr>
      <t xml:space="preserve">건 외 </t>
    </r>
    <r>
      <rPr>
        <i val="true"/>
        <sz val="11"/>
        <color rgb="FF555555"/>
        <rFont val="Noto Sans"/>
        <family val="0"/>
        <charset val="1"/>
      </rPr>
      <t xml:space="preserve">15</t>
    </r>
    <r>
      <rPr>
        <i val="true"/>
        <sz val="11"/>
        <color rgb="FF555555"/>
        <rFont val="Noto Sans CJK SC"/>
        <family val="2"/>
      </rPr>
      <t xml:space="preserve">건은 매핑 확인됨</t>
    </r>
    <r>
      <rPr>
        <i val="true"/>
        <sz val="11"/>
        <color rgb="FF555555"/>
        <rFont val="Noto Sans"/>
        <family val="0"/>
        <charset val="1"/>
      </rPr>
      <t xml:space="preserve">(</t>
    </r>
    <r>
      <rPr>
        <i val="true"/>
        <sz val="11"/>
        <color rgb="FF555555"/>
        <rFont val="Noto Sans CJK SC"/>
        <family val="2"/>
      </rPr>
      <t xml:space="preserve">추가 조치 불필요</t>
    </r>
    <r>
      <rPr>
        <i val="true"/>
        <sz val="11"/>
        <color rgb="FF555555"/>
        <rFont val="Noto Sans"/>
        <family val="0"/>
        <charset val="1"/>
      </rPr>
      <t xml:space="preserve">).</t>
    </r>
  </si>
  <si>
    <r>
      <rPr>
        <sz val="11"/>
        <color rgb="FF555555"/>
        <rFont val="Cambria"/>
        <family val="0"/>
        <charset val="1"/>
      </rPr>
      <t xml:space="preserve">· </t>
    </r>
    <r>
      <rPr>
        <sz val="11"/>
        <color rgb="FF555555"/>
        <rFont val="Noto Sans CJK SC"/>
        <family val="2"/>
      </rPr>
      <t xml:space="preserve">정합 양호</t>
    </r>
    <r>
      <rPr>
        <sz val="11"/>
        <color rgb="FF555555"/>
        <rFont val="Cambria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미사용 메뉴 대신 사용 메뉴 계승</t>
    </r>
    <r>
      <rPr>
        <sz val="11"/>
        <color rgb="FF555555"/>
        <rFont val="Cambria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반배정→고정반 관리</t>
    </r>
    <r>
      <rPr>
        <sz val="11"/>
        <color rgb="FF555555"/>
        <rFont val="Cambria"/>
        <family val="0"/>
        <charset val="1"/>
      </rPr>
      <t xml:space="preserve">, </t>
    </r>
    <r>
      <rPr>
        <sz val="11"/>
        <color rgb="FF555555"/>
        <rFont val="Noto Sans CJK SC"/>
        <family val="2"/>
      </rPr>
      <t xml:space="preserve">출결현황→</t>
    </r>
    <r>
      <rPr>
        <sz val="11"/>
        <color rgb="FF555555"/>
        <rFont val="Cambria"/>
        <family val="0"/>
        <charset val="1"/>
      </rPr>
      <t xml:space="preserve">D.Lab </t>
    </r>
    <r>
      <rPr>
        <sz val="11"/>
        <color rgb="FF555555"/>
        <rFont val="Noto Sans CJK SC"/>
        <family val="2"/>
      </rPr>
      <t xml:space="preserve">출결</t>
    </r>
    <r>
      <rPr>
        <sz val="11"/>
        <color rgb="FF555555"/>
        <rFont val="Cambria"/>
        <family val="0"/>
        <charset val="1"/>
      </rPr>
      <t xml:space="preserve">) / </t>
    </r>
    <r>
      <rPr>
        <sz val="11"/>
        <color rgb="FF555555"/>
        <rFont val="Noto Sans CJK SC"/>
        <family val="2"/>
      </rPr>
      <t xml:space="preserve">클라이언트 추가 </t>
    </r>
    <r>
      <rPr>
        <sz val="11"/>
        <color rgb="FF555555"/>
        <rFont val="Cambria"/>
        <family val="0"/>
        <charset val="1"/>
      </rPr>
      <t xml:space="preserve">4</t>
    </r>
    <r>
      <rPr>
        <sz val="11"/>
        <color rgb="FF555555"/>
        <rFont val="Noto Sans CJK SC"/>
        <family val="2"/>
      </rPr>
      <t xml:space="preserve">건</t>
    </r>
    <r>
      <rPr>
        <sz val="11"/>
        <color rgb="FF555555"/>
        <rFont val="Cambria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고정반</t>
    </r>
    <r>
      <rPr>
        <sz val="11"/>
        <color rgb="FF555555"/>
        <rFont val="Cambria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특강출석부</t>
    </r>
    <r>
      <rPr>
        <sz val="11"/>
        <color rgb="FF555555"/>
        <rFont val="Cambria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독서실 좌석배치표</t>
    </r>
    <r>
      <rPr>
        <sz val="11"/>
        <color rgb="FF555555"/>
        <rFont val="Cambria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명단 세부</t>
    </r>
    <r>
      <rPr>
        <sz val="11"/>
        <color rgb="FF555555"/>
        <rFont val="Cambria"/>
        <family val="0"/>
        <charset val="1"/>
      </rPr>
      <t xml:space="preserve">) </t>
    </r>
    <r>
      <rPr>
        <sz val="11"/>
        <color rgb="FF555555"/>
        <rFont val="Noto Sans CJK SC"/>
        <family val="2"/>
      </rPr>
      <t xml:space="preserve">모두 반영됨</t>
    </r>
    <r>
      <rPr>
        <sz val="11"/>
        <color rgb="FF555555"/>
        <rFont val="Cambria"/>
        <family val="0"/>
        <charset val="1"/>
      </rPr>
      <t xml:space="preserve">.</t>
    </r>
  </si>
  <si>
    <t xml:space="preserve">No.</t>
  </si>
  <si>
    <t xml:space="preserve">기능번호</t>
  </si>
  <si>
    <r>
      <rPr>
        <b val="true"/>
        <sz val="11"/>
        <color rgb="FFFFFFFF"/>
        <rFont val="Noto Sans CJK SC"/>
        <family val="2"/>
      </rPr>
      <t xml:space="preserve">대분류</t>
    </r>
    <r>
      <rPr>
        <b val="true"/>
        <sz val="11"/>
        <color rgb="FFFFFFFF"/>
        <rFont val="Noto Sans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경로</t>
    </r>
    <r>
      <rPr>
        <b val="true"/>
        <sz val="11"/>
        <color rgb="FFFFFFFF"/>
        <rFont val="Noto Sans"/>
        <family val="0"/>
        <charset val="1"/>
      </rPr>
      <t xml:space="preserve">)</t>
    </r>
  </si>
  <si>
    <t xml:space="preserve">화면명</t>
  </si>
  <si>
    <t xml:space="preserve">기능 개요</t>
  </si>
  <si>
    <r>
      <rPr>
        <b val="true"/>
        <sz val="11"/>
        <color rgb="FFFFFFFF"/>
        <rFont val="Noto Sans CJK SC"/>
        <family val="2"/>
      </rPr>
      <t xml:space="preserve">핵심 요구사항 </t>
    </r>
    <r>
      <rPr>
        <b val="true"/>
        <sz val="11"/>
        <color rgb="FFFFFFFF"/>
        <rFont val="Noto Sans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로직</t>
    </r>
  </si>
  <si>
    <t xml:space="preserve">주요 데이터 항목</t>
  </si>
  <si>
    <r>
      <rPr>
        <b val="true"/>
        <sz val="11"/>
        <color rgb="FFFFFFFF"/>
        <rFont val="Noto Sans CJK SC"/>
        <family val="2"/>
      </rPr>
      <t xml:space="preserve">연관 화면</t>
    </r>
    <r>
      <rPr>
        <b val="true"/>
        <sz val="11"/>
        <color rgb="FFFFFFFF"/>
        <rFont val="Noto San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시스템</t>
    </r>
  </si>
  <si>
    <r>
      <rPr>
        <b val="true"/>
        <sz val="11"/>
        <color rgb="FFFFFFFF"/>
        <rFont val="Noto Sans"/>
        <family val="0"/>
        <charset val="1"/>
      </rPr>
      <t xml:space="preserve">DSA </t>
    </r>
    <r>
      <rPr>
        <b val="true"/>
        <sz val="11"/>
        <color rgb="FFFFFFFF"/>
        <rFont val="Noto Sans CJK SC"/>
        <family val="2"/>
      </rPr>
      <t xml:space="preserve">화면 실사 근거</t>
    </r>
    <r>
      <rPr>
        <b val="true"/>
        <sz val="11"/>
        <color rgb="FFFFFFFF"/>
        <rFont val="Noto Sans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코드 아님</t>
    </r>
    <r>
      <rPr>
        <b val="true"/>
        <sz val="11"/>
        <color rgb="FFFFFFFF"/>
        <rFont val="Noto Sans"/>
        <family val="0"/>
        <charset val="1"/>
      </rPr>
      <t xml:space="preserve">, UX·</t>
    </r>
    <r>
      <rPr>
        <b val="true"/>
        <sz val="11"/>
        <color rgb="FFFFFFFF"/>
        <rFont val="Noto Sans CJK SC"/>
        <family val="2"/>
      </rPr>
      <t xml:space="preserve">요구사항 참고용</t>
    </r>
    <r>
      <rPr>
        <b val="true"/>
        <sz val="11"/>
        <color rgb="FFFFFFFF"/>
        <rFont val="Noto Sans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</si>
  <si>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관련 이슈</t>
    </r>
    <r>
      <rPr>
        <b val="true"/>
        <sz val="11"/>
        <color rgb="FFFFFFFF"/>
        <rFont val="Noto Sans"/>
        <family val="0"/>
        <charset val="1"/>
      </rPr>
      <t xml:space="preserve">No.</t>
    </r>
  </si>
  <si>
    <t xml:space="preserve">F-4.1-1</t>
  </si>
  <si>
    <r>
      <rPr>
        <sz val="11"/>
        <color theme="1"/>
        <rFont val="Noto Sans"/>
        <family val="0"/>
        <charset val="1"/>
      </rPr>
      <t xml:space="preserve">[4.1] </t>
    </r>
    <r>
      <rPr>
        <sz val="11"/>
        <color theme="1"/>
        <rFont val="Noto Sans CJK SC"/>
        <family val="2"/>
      </rPr>
      <t xml:space="preserve">학생 관리</t>
    </r>
  </si>
  <si>
    <r>
      <rPr>
        <sz val="11"/>
        <color theme="1"/>
        <rFont val="Noto Sans CJK SC"/>
        <family val="2"/>
      </rPr>
      <t xml:space="preserve">학원생 검색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조회</t>
    </r>
  </si>
  <si>
    <r>
      <rPr>
        <sz val="11"/>
        <color theme="1"/>
        <rFont val="Noto Sans CJK SC"/>
        <family val="2"/>
      </rPr>
      <t xml:space="preserve">신규개발</t>
    </r>
    <r>
      <rPr>
        <sz val="11"/>
        <color theme="1"/>
        <rFont val="Noto Sans"/>
        <family val="0"/>
        <charset val="1"/>
      </rPr>
      <t xml:space="preserve">-</t>
    </r>
    <r>
      <rPr>
        <sz val="11"/>
        <color theme="1"/>
        <rFont val="Noto Sans CJK SC"/>
        <family val="2"/>
      </rPr>
      <t xml:space="preserve">요구사항검증됨</t>
    </r>
  </si>
  <si>
    <r>
      <rPr>
        <sz val="11"/>
        <color theme="1"/>
        <rFont val="Noto Sans CJK SC"/>
        <family val="2"/>
      </rPr>
      <t xml:space="preserve">통합 검색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이름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학번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전화번호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결과 정렬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검색조건 저장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목록 엑셀 </t>
    </r>
    <r>
      <rPr>
        <sz val="11"/>
        <color theme="1"/>
        <rFont val="Noto Sans"/>
        <family val="0"/>
        <charset val="1"/>
      </rPr>
      <t xml:space="preserve">Export</t>
    </r>
  </si>
  <si>
    <r>
      <rPr>
        <sz val="11"/>
        <color theme="1"/>
        <rFont val="Noto Sans"/>
        <family val="0"/>
        <charset val="1"/>
      </rPr>
      <t xml:space="preserve">GET /api/v1/students — QueryDSL </t>
    </r>
    <r>
      <rPr>
        <sz val="11"/>
        <color theme="1"/>
        <rFont val="Noto Sans CJK SC"/>
        <family val="2"/>
      </rPr>
      <t xml:space="preserve">동적 검색 빌더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공통 검색 파라미터</t>
    </r>
    <r>
      <rPr>
        <sz val="11"/>
        <color theme="1"/>
        <rFont val="Noto Sans"/>
        <family val="0"/>
        <charset val="1"/>
      </rPr>
      <t xml:space="preserve">(year·branchId·keyword 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Noto Sans"/>
        <family val="0"/>
        <charset val="1"/>
      </rPr>
      <t xml:space="preserve">). GET /students/export</t>
    </r>
  </si>
  <si>
    <t xml:space="preserve">students</t>
  </si>
  <si>
    <t xml:space="preserve">-</t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</si>
  <si>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학원생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메인메뉴</t>
    </r>
    <r>
      <rPr>
        <sz val="11"/>
        <color theme="1"/>
        <rFont val="Noto Sans"/>
        <family val="0"/>
        <charset val="1"/>
      </rPr>
      <t xml:space="preserve">' 12</t>
    </r>
    <r>
      <rPr>
        <sz val="11"/>
        <color theme="1"/>
        <rFont val="Noto Sans CJK SC"/>
        <family val="2"/>
      </rPr>
      <t xml:space="preserve">개 조건 검색필터</t>
    </r>
    <r>
      <rPr>
        <sz val="11"/>
        <color theme="1"/>
        <rFont val="Noto Sans"/>
        <family val="0"/>
        <charset val="1"/>
      </rPr>
      <t xml:space="preserve">, 394</t>
    </r>
    <r>
      <rPr>
        <sz val="11"/>
        <color theme="1"/>
        <rFont val="Noto Sans CJK SC"/>
        <family val="2"/>
      </rPr>
      <t xml:space="preserve">명 목록 확인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정렬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조건저장은 미확인 → 신규 요구사항</t>
    </r>
  </si>
  <si>
    <t xml:space="preserve">F-4.1-2</t>
  </si>
  <si>
    <r>
      <rPr>
        <sz val="11"/>
        <color theme="1"/>
        <rFont val="Noto Sans CJK SC"/>
        <family val="2"/>
      </rPr>
      <t xml:space="preserve">학생 엑셀 일괄 등록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Noto Sans"/>
        <family val="0"/>
        <charset val="1"/>
      </rPr>
      <t xml:space="preserve">(Import)</t>
    </r>
  </si>
  <si>
    <r>
      <rPr>
        <sz val="11"/>
        <color theme="1"/>
        <rFont val="Noto Sans CJK SC"/>
        <family val="2"/>
      </rPr>
      <t xml:space="preserve">신규개발</t>
    </r>
    <r>
      <rPr>
        <sz val="11"/>
        <color theme="1"/>
        <rFont val="Noto Sans"/>
        <family val="0"/>
        <charset val="1"/>
      </rPr>
      <t xml:space="preserve">-</t>
    </r>
    <r>
      <rPr>
        <sz val="11"/>
        <color theme="1"/>
        <rFont val="Noto Sans CJK SC"/>
        <family val="2"/>
      </rPr>
      <t xml:space="preserve">요구사항신규</t>
    </r>
  </si>
  <si>
    <r>
      <rPr>
        <sz val="11"/>
        <color theme="1"/>
        <rFont val="Noto Sans CJK SC"/>
        <family val="2"/>
      </rPr>
      <t xml:space="preserve">엑셀 업로드로 학생 정보 일괄 등록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업로드 전 미리보기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검증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오류행 표시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후 확정 반영</t>
    </r>
  </si>
  <si>
    <r>
      <rPr>
        <sz val="11"/>
        <color theme="1"/>
        <rFont val="Noto Sans"/>
        <family val="0"/>
        <charset val="1"/>
      </rPr>
      <t xml:space="preserve">POST /api/v1/students/import/preview → ImportPreviewResult(totalRows·validRows·errorRows·errors) → POST /students/import </t>
    </r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. ColumnMapping </t>
    </r>
    <r>
      <rPr>
        <sz val="11"/>
        <color theme="1"/>
        <rFont val="Noto Sans CJK SC"/>
        <family val="2"/>
      </rPr>
      <t xml:space="preserve">기반 유연 매핑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양식 변경 대응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</si>
  <si>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공통 엑셀 </t>
    </r>
    <r>
      <rPr>
        <sz val="11"/>
        <color theme="1"/>
        <rFont val="Noto Sans"/>
        <family val="0"/>
        <charset val="1"/>
      </rPr>
      <t xml:space="preserve">Import/Export </t>
    </r>
    <r>
      <rPr>
        <sz val="11"/>
        <color theme="1"/>
        <rFont val="Noto Sans CJK SC"/>
        <family val="2"/>
      </rPr>
      <t xml:space="preserve">프레임워크</t>
    </r>
  </si>
  <si>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대응 화면 없음 — 초기 데이터 셋업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연간 재세팅 부담 해소 목적으로 신규 정의</t>
    </r>
    <r>
      <rPr>
        <sz val="11"/>
        <color theme="1"/>
        <rFont val="Noto Sans"/>
        <family val="0"/>
        <charset val="1"/>
      </rPr>
      <t xml:space="preserve">(0803)</t>
    </r>
  </si>
  <si>
    <t xml:space="preserve">#1(D-1)</t>
  </si>
  <si>
    <t xml:space="preserve">F-4.1-3</t>
  </si>
  <si>
    <t xml:space="preserve">상벌점 관리</t>
  </si>
  <si>
    <r>
      <rPr>
        <sz val="11"/>
        <color theme="1"/>
        <rFont val="Noto Sans CJK SC"/>
        <family val="2"/>
      </rPr>
      <t xml:space="preserve">신규개발</t>
    </r>
    <r>
      <rPr>
        <sz val="11"/>
        <color theme="1"/>
        <rFont val="Noto Sans"/>
        <family val="0"/>
        <charset val="1"/>
      </rPr>
      <t xml:space="preserve">-</t>
    </r>
    <r>
      <rPr>
        <sz val="11"/>
        <color theme="1"/>
        <rFont val="Noto Sans CJK SC"/>
        <family val="2"/>
      </rPr>
      <t xml:space="preserve">요구사항보완</t>
    </r>
  </si>
  <si>
    <r>
      <rPr>
        <sz val="11"/>
        <color theme="1"/>
        <rFont val="Noto Sans CJK SC"/>
        <family val="2"/>
      </rPr>
      <t xml:space="preserve">항목 전년도 복사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학생별 내역 조회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Daily Report </t>
    </r>
    <r>
      <rPr>
        <sz val="11"/>
        <color theme="1"/>
        <rFont val="Noto Sans CJK SC"/>
        <family val="2"/>
      </rPr>
      <t xml:space="preserve">실시간 연동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상벌점 규칙 엔진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루틴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출결 자동 부여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</si>
  <si>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PenaltyRuleEngine — </t>
    </r>
    <r>
      <rPr>
        <sz val="11"/>
        <color theme="1"/>
        <rFont val="Noto Sans CJK SC"/>
        <family val="2"/>
      </rPr>
      <t xml:space="preserve">트리거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지각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결석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루틴미완료 등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매핑 규칙 기반 자동 부여</t>
    </r>
    <r>
      <rPr>
        <sz val="11"/>
        <color theme="1"/>
        <rFont val="Noto Sans"/>
        <family val="0"/>
        <charset val="1"/>
      </rPr>
      <t xml:space="preserve">. YearlySnapshotService</t>
    </r>
    <r>
      <rPr>
        <sz val="11"/>
        <color theme="1"/>
        <rFont val="Noto Sans CJK SC"/>
        <family val="2"/>
      </rPr>
      <t xml:space="preserve">로 항목 전년도 복사
▷</t>
    </r>
    <r>
      <rPr>
        <sz val="11"/>
        <color theme="1"/>
        <rFont val="Noto Sans"/>
        <family val="0"/>
        <charset val="1"/>
      </rPr>
      <t xml:space="preserve">[0723] </t>
    </r>
    <r>
      <rPr>
        <sz val="11"/>
        <color theme="1"/>
        <rFont val="Noto Sans CJK SC"/>
        <family val="2"/>
      </rPr>
      <t xml:space="preserve">학생 노출 명칭 완화 검토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관리점수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나의점수 등</t>
    </r>
    <r>
      <rPr>
        <sz val="11"/>
        <color theme="1"/>
        <rFont val="Noto Sans"/>
        <family val="0"/>
        <charset val="1"/>
      </rPr>
      <t xml:space="preserve">)
▷[0803] </t>
    </r>
    <r>
      <rPr>
        <sz val="11"/>
        <color theme="1"/>
        <rFont val="Noto Sans CJK SC"/>
        <family val="2"/>
      </rPr>
      <t xml:space="preserve">순찰 폐기로 </t>
    </r>
    <r>
      <rPr>
        <sz val="11"/>
        <color theme="1"/>
        <rFont val="Noto Sans"/>
        <family val="0"/>
        <charset val="1"/>
      </rPr>
      <t xml:space="preserve">PATROL_SLEEP_2 </t>
    </r>
    <r>
      <rPr>
        <sz val="11"/>
        <color theme="1"/>
        <rFont val="Noto Sans CJK SC"/>
        <family val="2"/>
      </rPr>
      <t xml:space="preserve">트리거 삭제 — 트리거 목록 재정의 필요</t>
    </r>
  </si>
  <si>
    <t xml:space="preserve">penalty_items, penalty_rules</t>
  </si>
  <si>
    <r>
      <rPr>
        <sz val="11"/>
        <color theme="1"/>
        <rFont val="Noto Sans"/>
        <family val="0"/>
        <charset val="1"/>
      </rPr>
      <t xml:space="preserve">F-4.3-1 </t>
    </r>
    <r>
      <rPr>
        <sz val="11"/>
        <color theme="1"/>
        <rFont val="Noto Sans CJK SC"/>
        <family val="2"/>
      </rPr>
      <t xml:space="preserve">출결</t>
    </r>
    <r>
      <rPr>
        <sz val="11"/>
        <color theme="1"/>
        <rFont val="Noto Sans"/>
        <family val="0"/>
        <charset val="1"/>
      </rPr>
      <t xml:space="preserve">, F-4.11-1 </t>
    </r>
    <r>
      <rPr>
        <sz val="11"/>
        <color theme="1"/>
        <rFont val="Noto Sans CJK SC"/>
        <family val="2"/>
      </rPr>
      <t xml:space="preserve">데일리루틴</t>
    </r>
  </si>
  <si>
    <r>
      <rPr>
        <sz val="11"/>
        <color theme="1"/>
        <rFont val="Noto Sans"/>
        <family val="0"/>
        <charset val="1"/>
      </rPr>
      <t xml:space="preserve">DSA 'D.Lab&gt;</t>
    </r>
    <r>
      <rPr>
        <sz val="11"/>
        <color theme="1"/>
        <rFont val="Noto Sans CJK SC"/>
        <family val="2"/>
      </rPr>
      <t xml:space="preserve">상벌점 내역 조회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관리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조건검색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선택 일괄 점수부여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엑셀다운로드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자동 룰 부여는 화면에 없음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수기 부여만</t>
    </r>
    <r>
      <rPr>
        <sz val="11"/>
        <color theme="1"/>
        <rFont val="Noto Sans"/>
        <family val="0"/>
        <charset val="1"/>
      </rPr>
      <t xml:space="preserve">)</t>
    </r>
  </si>
  <si>
    <t xml:space="preserve">#25(I-5)</t>
  </si>
  <si>
    <t xml:space="preserve">F-4.1-4</t>
  </si>
  <si>
    <r>
      <rPr>
        <sz val="11"/>
        <color theme="1"/>
        <rFont val="Noto Sans CJK SC"/>
        <family val="2"/>
      </rPr>
      <t xml:space="preserve">신규 접수 등록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합격생 등록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</si>
  <si>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합격생 등록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학번 자동 부여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매년 초기화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</si>
  <si>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POST /api/v1/students — </t>
    </r>
    <r>
      <rPr>
        <sz val="11"/>
        <color theme="1"/>
        <rFont val="Noto Sans CJK SC"/>
        <family val="2"/>
      </rPr>
      <t xml:space="preserve">학번 채번 규칙 </t>
    </r>
    <r>
      <rPr>
        <sz val="11"/>
        <color theme="1"/>
        <rFont val="Noto Sans"/>
        <family val="0"/>
        <charset val="1"/>
      </rPr>
      <t xml:space="preserve">year+%04d(nextSeq) → 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Noto Sans"/>
        <family val="0"/>
        <charset val="1"/>
      </rPr>
      <t xml:space="preserve">: 2026-0001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</si>
  <si>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학원생</t>
    </r>
    <r>
      <rPr>
        <sz val="11"/>
        <color theme="1"/>
        <rFont val="Noto Sans"/>
        <family val="0"/>
        <charset val="1"/>
      </rPr>
      <t xml:space="preserve">&gt;NEW</t>
    </r>
    <r>
      <rPr>
        <sz val="11"/>
        <color theme="1"/>
        <rFont val="Noto Sans CJK SC"/>
        <family val="2"/>
      </rPr>
      <t xml:space="preserve">접수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합격생등록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다중조건검색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합격생등록 버튼 확인</t>
    </r>
  </si>
  <si>
    <t xml:space="preserve">F-4.1-5</t>
  </si>
  <si>
    <r>
      <rPr>
        <sz val="11"/>
        <color theme="1"/>
        <rFont val="Noto Sans CJK SC"/>
        <family val="2"/>
      </rPr>
      <t xml:space="preserve">반 배정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고정반 관리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</si>
  <si>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고정반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이동수업반 배정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전년도 복사</t>
    </r>
  </si>
  <si>
    <r>
      <rPr>
        <sz val="11"/>
        <color theme="1"/>
        <rFont val="Noto Sans"/>
        <family val="0"/>
        <charset val="1"/>
      </rPr>
      <t xml:space="preserve">class_assignments. </t>
    </r>
    <r>
      <rPr>
        <sz val="11"/>
        <color theme="1"/>
        <rFont val="Noto Sans CJK SC"/>
        <family val="2"/>
      </rPr>
      <t xml:space="preserve">복사 의존순서</t>
    </r>
    <r>
      <rPr>
        <sz val="11"/>
        <color theme="1"/>
        <rFont val="Noto Sans"/>
        <family val="0"/>
        <charset val="1"/>
      </rPr>
      <t xml:space="preserve">: department→course_type→class_group→curriculum→penalty_item→tuition (YearlySnapshotService, </t>
    </r>
    <r>
      <rPr>
        <sz val="11"/>
        <color theme="1"/>
        <rFont val="Noto Sans CJK SC"/>
        <family val="2"/>
      </rPr>
      <t xml:space="preserve">단순 </t>
    </r>
    <r>
      <rPr>
        <sz val="11"/>
        <color theme="1"/>
        <rFont val="Noto Sans"/>
        <family val="0"/>
        <charset val="1"/>
      </rPr>
      <t xml:space="preserve">INSERT SELECT </t>
    </r>
    <r>
      <rPr>
        <sz val="11"/>
        <color theme="1"/>
        <rFont val="Noto Sans CJK SC"/>
        <family val="2"/>
      </rPr>
      <t xml:space="preserve">금지</t>
    </r>
    <r>
      <rPr>
        <sz val="11"/>
        <color theme="1"/>
        <rFont val="Noto Sans"/>
        <family val="0"/>
        <charset val="1"/>
      </rPr>
      <t xml:space="preserve">)</t>
    </r>
  </si>
  <si>
    <t xml:space="preserve">class_groups, class_assignments</t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</si>
  <si>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교무업무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고정반 관리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고정반목록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계열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학과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담임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정원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원생수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배정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원생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그룹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등록 버튼 확인</t>
    </r>
  </si>
  <si>
    <t xml:space="preserve">F-4.1-6</t>
  </si>
  <si>
    <t xml:space="preserve">사유 신청 관리</t>
  </si>
  <si>
    <r>
      <rPr>
        <sz val="11"/>
        <color theme="1"/>
        <rFont val="Noto Sans CJK SC"/>
        <family val="2"/>
      </rPr>
      <t xml:space="preserve">앱에서 사유 즉시 제출 → 실시간 확인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승인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관리자 직접 등록도 병행</t>
    </r>
  </si>
  <si>
    <r>
      <rPr>
        <sz val="11"/>
        <color theme="1"/>
        <rFont val="Noto Sans CJK SC"/>
        <family val="2"/>
      </rPr>
      <t xml:space="preserve">승인 라우팅</t>
    </r>
    <r>
      <rPr>
        <sz val="11"/>
        <color theme="1"/>
        <rFont val="Noto Sans"/>
        <family val="0"/>
        <charset val="1"/>
      </rPr>
      <t xml:space="preserve">(approval_items: approver_type PARENT/TEACHER/AUTO)</t>
    </r>
    <r>
      <rPr>
        <sz val="11"/>
        <color theme="1"/>
        <rFont val="Noto Sans CJK SC"/>
        <family val="2"/>
      </rPr>
      <t xml:space="preserve">에 따라 학부모 또는 담임으로 라우팅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벌점 확정 후 승인 불가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확정 시점 </t>
    </r>
    <r>
      <rPr>
        <sz val="11"/>
        <color theme="1"/>
        <rFont val="Noto Sans"/>
        <family val="0"/>
        <charset val="1"/>
      </rPr>
      <t xml:space="preserve">I-10)</t>
    </r>
  </si>
  <si>
    <t xml:space="preserve">absence_requests, approval_items, approval_requests</t>
  </si>
  <si>
    <r>
      <rPr>
        <sz val="11"/>
        <color theme="1"/>
        <rFont val="Noto Sans"/>
        <family val="0"/>
        <charset val="1"/>
      </rPr>
      <t xml:space="preserve">F-4.11-5 </t>
    </r>
    <r>
      <rPr>
        <sz val="11"/>
        <color theme="1"/>
        <rFont val="Noto Sans CJK SC"/>
        <family val="2"/>
      </rPr>
      <t xml:space="preserve">승인 라우팅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A-6</t>
    </r>
  </si>
  <si>
    <r>
      <rPr>
        <sz val="11"/>
        <color theme="1"/>
        <rFont val="Noto Sans"/>
        <family val="0"/>
        <charset val="1"/>
      </rPr>
      <t xml:space="preserve">DSA 'D.Lab&gt;</t>
    </r>
    <r>
      <rPr>
        <sz val="11"/>
        <color theme="1"/>
        <rFont val="Noto Sans CJK SC"/>
        <family val="2"/>
      </rPr>
      <t xml:space="preserve">사유 신청권 설정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조건검색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사유목록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결석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지각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조퇴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외출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등록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수정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앱 실시간 제출→승인 흐름은 신규</t>
    </r>
  </si>
  <si>
    <t xml:space="preserve">#32(I-12), #30(I-10)</t>
  </si>
  <si>
    <t xml:space="preserve">F-4.1-7</t>
  </si>
  <si>
    <t xml:space="preserve">정기일정 관리</t>
  </si>
  <si>
    <r>
      <rPr>
        <sz val="11"/>
        <color theme="1"/>
        <rFont val="Noto Sans CJK SC"/>
        <family val="2"/>
      </rPr>
      <t xml:space="preserve">현강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과외 등 월 단위 외부 정기일정 관리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학생 앱 등록분 승인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관리자 페이지에서 담임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선생님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이 학생 대신 직접 등록하는 </t>
    </r>
    <r>
      <rPr>
        <sz val="11"/>
        <color theme="1"/>
        <rFont val="Noto Sans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트랙</t>
    </r>
  </si>
  <si>
    <r>
      <rPr>
        <sz val="11"/>
        <color theme="1"/>
        <rFont val="Noto Sans"/>
        <family val="0"/>
        <charset val="1"/>
      </rPr>
      <t xml:space="preserve">POST/GET /api/v1/schedules — </t>
    </r>
    <r>
      <rPr>
        <sz val="11"/>
        <color theme="1"/>
        <rFont val="Noto Sans CJK SC"/>
        <family val="2"/>
      </rPr>
      <t xml:space="preserve">매월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 월 단위 등록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등록 시간 대비 실제 출입 </t>
    </r>
    <r>
      <rPr>
        <sz val="11"/>
        <color theme="1"/>
        <rFont val="Noto Sans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 이상 차이 시 미인정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서버 판정</t>
    </r>
    <r>
      <rPr>
        <sz val="11"/>
        <color theme="1"/>
        <rFont val="Noto Sans"/>
        <family val="0"/>
        <charset val="1"/>
      </rPr>
      <t xml:space="preserve">) → </t>
    </r>
    <r>
      <rPr>
        <sz val="11"/>
        <color theme="1"/>
        <rFont val="Noto Sans CJK SC"/>
        <family val="2"/>
      </rPr>
      <t xml:space="preserve">벌점 미부여 예외 처리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관리자 등록분은 자동 승인</t>
    </r>
    <r>
      <rPr>
        <sz val="11"/>
        <color theme="1"/>
        <rFont val="Noto Sans"/>
        <family val="0"/>
        <charset val="1"/>
      </rPr>
      <t xml:space="preserve">(AUTO)</t>
    </r>
  </si>
  <si>
    <r>
      <rPr>
        <sz val="11"/>
        <color theme="1"/>
        <rFont val="Noto Sans"/>
        <family val="0"/>
        <charset val="1"/>
      </rPr>
      <t xml:space="preserve">schedules(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), approval_requests</t>
    </r>
  </si>
  <si>
    <r>
      <rPr>
        <sz val="11"/>
        <color theme="1"/>
        <rFont val="Noto Sans"/>
        <family val="0"/>
        <charset val="1"/>
      </rPr>
      <t xml:space="preserve">F-4.3-1 </t>
    </r>
    <r>
      <rPr>
        <sz val="11"/>
        <color theme="1"/>
        <rFont val="Noto Sans CJK SC"/>
        <family val="2"/>
      </rPr>
      <t xml:space="preserve">출결</t>
    </r>
    <r>
      <rPr>
        <sz val="11"/>
        <color theme="1"/>
        <rFont val="Noto Sans"/>
        <family val="0"/>
        <charset val="1"/>
      </rPr>
      <t xml:space="preserve">, F-4.11-5 </t>
    </r>
    <r>
      <rPr>
        <sz val="11"/>
        <color theme="1"/>
        <rFont val="Noto Sans CJK SC"/>
        <family val="2"/>
      </rPr>
      <t xml:space="preserve">승인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A-7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</si>
  <si>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화면 없음 — 완전 신규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기획 </t>
    </r>
    <r>
      <rPr>
        <sz val="11"/>
        <color theme="1"/>
        <rFont val="Noto Sans"/>
        <family val="0"/>
        <charset val="1"/>
      </rPr>
      <t xml:space="preserve">3.4, 0803 </t>
    </r>
    <r>
      <rPr>
        <sz val="11"/>
        <color theme="1"/>
        <rFont val="Noto Sans CJK SC"/>
        <family val="2"/>
      </rPr>
      <t xml:space="preserve">관리자 등록 트랙 추가</t>
    </r>
    <r>
      <rPr>
        <sz val="11"/>
        <color theme="1"/>
        <rFont val="Noto Sans"/>
        <family val="0"/>
        <charset val="1"/>
      </rPr>
      <t xml:space="preserve">)</t>
    </r>
  </si>
  <si>
    <t xml:space="preserve">#48(I-27), #32(I-12)</t>
  </si>
  <si>
    <t xml:space="preserve">F-4.1-8</t>
  </si>
  <si>
    <r>
      <rPr>
        <sz val="11"/>
        <color theme="1"/>
        <rFont val="Noto Sans CJK SC"/>
        <family val="2"/>
      </rPr>
      <t xml:space="preserve">학생 상태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재원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휴원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퇴원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제적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</si>
  <si>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학생 상태 전이 처리 및 이력 관리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상태별 목록 필터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전체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재원생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퇴원생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퇴원 시 배정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수납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앱 계정 후속 처리</t>
    </r>
  </si>
  <si>
    <r>
      <rPr>
        <sz val="11"/>
        <color theme="1"/>
        <rFont val="Noto Sans"/>
        <family val="0"/>
        <charset val="1"/>
      </rPr>
      <t xml:space="preserve">status: ENROLLED|LEAVE|WITHDRAWN|EXPELLED|GRADUATED. </t>
    </r>
    <r>
      <rPr>
        <sz val="11"/>
        <color theme="1"/>
        <rFont val="Noto Sans CJK SC"/>
        <family val="2"/>
      </rPr>
      <t xml:space="preserve">상태 전이 시 좌석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사물함 배정 해제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급식 정기신청 중단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계정 비활성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미납 채권 이관 처리를 트랜잭션으로 연결</t>
    </r>
  </si>
  <si>
    <r>
      <rPr>
        <sz val="11"/>
        <color theme="1"/>
        <rFont val="Noto Sans"/>
        <family val="0"/>
        <charset val="1"/>
      </rPr>
      <t xml:space="preserve">students, student_status_logs(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</si>
  <si>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F-4.10-3 </t>
    </r>
    <r>
      <rPr>
        <sz val="11"/>
        <color theme="1"/>
        <rFont val="Noto Sans CJK SC"/>
        <family val="2"/>
      </rPr>
      <t xml:space="preserve">배정</t>
    </r>
    <r>
      <rPr>
        <sz val="11"/>
        <color theme="1"/>
        <rFont val="Noto Sans"/>
        <family val="0"/>
        <charset val="1"/>
      </rPr>
      <t xml:space="preserve">, F-4.8-1 </t>
    </r>
    <r>
      <rPr>
        <sz val="11"/>
        <color theme="1"/>
        <rFont val="Noto Sans CJK SC"/>
        <family val="2"/>
      </rPr>
      <t xml:space="preserve">수납</t>
    </r>
    <r>
      <rPr>
        <sz val="11"/>
        <color theme="1"/>
        <rFont val="Noto Sans"/>
        <family val="0"/>
        <charset val="1"/>
      </rPr>
      <t xml:space="preserve">, F-4.12-1 </t>
    </r>
    <r>
      <rPr>
        <sz val="11"/>
        <color theme="1"/>
        <rFont val="Noto Sans CJK SC"/>
        <family val="2"/>
      </rPr>
      <t xml:space="preserve">앱 계정</t>
    </r>
  </si>
  <si>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상벌점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출결 화면에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전체보기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재원생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퇴원생</t>
    </r>
    <r>
      <rPr>
        <sz val="11"/>
        <color theme="1"/>
        <rFont val="Noto Sans"/>
        <family val="0"/>
        <charset val="1"/>
      </rPr>
      <t xml:space="preserve">' 3</t>
    </r>
    <r>
      <rPr>
        <sz val="11"/>
        <color theme="1"/>
        <rFont val="Noto Sans CJK SC"/>
        <family val="2"/>
      </rPr>
      <t xml:space="preserve">필터가 존재해 상태값 자체는 운영 중임이 확인됨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단 전이 규칙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후속처리는 코드 부재로 신규 정의</t>
    </r>
    <r>
      <rPr>
        <sz val="11"/>
        <color theme="1"/>
        <rFont val="Noto Sans"/>
        <family val="0"/>
        <charset val="1"/>
      </rPr>
      <t xml:space="preserve">(0803)</t>
    </r>
  </si>
  <si>
    <t xml:space="preserve">F-4.2-1</t>
  </si>
  <si>
    <r>
      <rPr>
        <sz val="11"/>
        <color theme="1"/>
        <rFont val="Noto Sans"/>
        <family val="0"/>
        <charset val="1"/>
      </rPr>
      <t xml:space="preserve">[4.2] </t>
    </r>
    <r>
      <rPr>
        <sz val="11"/>
        <color theme="1"/>
        <rFont val="Noto Sans CJK SC"/>
        <family val="2"/>
      </rPr>
      <t xml:space="preserve">대기자 관리</t>
    </r>
  </si>
  <si>
    <t xml:space="preserve">대기자 관리</t>
  </si>
  <si>
    <r>
      <rPr>
        <sz val="11"/>
        <color theme="1"/>
        <rFont val="Noto Sans"/>
        <family val="0"/>
        <charset val="1"/>
      </rPr>
      <t xml:space="preserve">D.Lab </t>
    </r>
    <r>
      <rPr>
        <sz val="11"/>
        <color theme="1"/>
        <rFont val="Noto Sans CJK SC"/>
        <family val="2"/>
      </rPr>
      <t xml:space="preserve">사이트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디멤버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입학예약자 → 대기자 자동 등록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순번 처리 알림 자동 발송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개별 메시지 발송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대기자→원생 원클릭 전환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앱 초대 알림</t>
    </r>
  </si>
  <si>
    <t xml:space="preserve">GET/POST/DELETE /api/v1/waitlist, POST .../notify · .../message · .../convert</t>
  </si>
  <si>
    <t xml:space="preserve">student_waitlist</t>
  </si>
  <si>
    <r>
      <rPr>
        <sz val="11"/>
        <color theme="1"/>
        <rFont val="Noto Sans"/>
        <family val="0"/>
        <charset val="1"/>
      </rPr>
      <t xml:space="preserve">F-4.2-2 </t>
    </r>
    <r>
      <rPr>
        <sz val="11"/>
        <color theme="1"/>
        <rFont val="Noto Sans CJK SC"/>
        <family val="2"/>
      </rPr>
      <t xml:space="preserve">입학예약 상담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</si>
  <si>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특강관리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접수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대기자 접수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는 대상이 다름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특강 대기자</t>
    </r>
    <r>
      <rPr>
        <sz val="11"/>
        <color theme="1"/>
        <rFont val="Noto Sans"/>
        <family val="0"/>
        <charset val="1"/>
      </rPr>
      <t xml:space="preserve">). UI </t>
    </r>
    <r>
      <rPr>
        <sz val="11"/>
        <color theme="1"/>
        <rFont val="Noto Sans CJK SC"/>
        <family val="2"/>
      </rPr>
      <t xml:space="preserve">구조만 참고</t>
    </r>
  </si>
  <si>
    <t xml:space="preserve">#1(D-1), #7(D-7), #10(S-1)</t>
  </si>
  <si>
    <t xml:space="preserve">F-4.2-2</t>
  </si>
  <si>
    <t xml:space="preserve">입학예약 상담 관리</t>
  </si>
  <si>
    <r>
      <rPr>
        <sz val="11"/>
        <color theme="1"/>
        <rFont val="Noto Sans"/>
        <family val="0"/>
        <charset val="1"/>
      </rPr>
      <t xml:space="preserve">D.Lab </t>
    </r>
    <r>
      <rPr>
        <sz val="11"/>
        <color theme="1"/>
        <rFont val="Noto Sans CJK SC"/>
        <family val="2"/>
      </rPr>
      <t xml:space="preserve">사이트 상담신청 </t>
    </r>
    <r>
      <rPr>
        <sz val="11"/>
        <color theme="1"/>
        <rFont val="Noto Sans"/>
        <family val="0"/>
        <charset val="1"/>
      </rPr>
      <t xml:space="preserve">API</t>
    </r>
    <r>
      <rPr>
        <sz val="11"/>
        <color theme="1"/>
        <rFont val="Noto Sans CJK SC"/>
        <family val="2"/>
      </rPr>
      <t xml:space="preserve">로 수신되는 입학 상담 건 접수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배정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처리 이력 관리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신청 프론트</t>
    </r>
    <r>
      <rPr>
        <sz val="11"/>
        <color theme="1"/>
        <rFont val="Noto Sans"/>
        <family val="0"/>
        <charset val="1"/>
      </rPr>
      <t xml:space="preserve">(D.Lab </t>
    </r>
    <r>
      <rPr>
        <sz val="11"/>
        <color theme="1"/>
        <rFont val="Noto Sans CJK SC"/>
        <family val="2"/>
      </rPr>
      <t xml:space="preserve">사이트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기구축 — 수신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관리 백오피스만 신규 개발</t>
    </r>
  </si>
  <si>
    <r>
      <rPr>
        <sz val="11"/>
        <color theme="1"/>
        <rFont val="Noto Sans"/>
        <family val="0"/>
        <charset val="1"/>
      </rPr>
      <t xml:space="preserve">GET/POST /api/v1/admission-consults — DSD </t>
    </r>
    <r>
      <rPr>
        <sz val="11"/>
        <color theme="1"/>
        <rFont val="Noto Sans CJK SC"/>
        <family val="2"/>
      </rPr>
      <t xml:space="preserve">상담신청 엔드포인트</t>
    </r>
    <r>
      <rPr>
        <sz val="11"/>
        <color theme="1"/>
        <rFont val="Noto Sans"/>
        <family val="0"/>
        <charset val="1"/>
      </rPr>
      <t xml:space="preserve">(S-4) </t>
    </r>
    <r>
      <rPr>
        <sz val="11"/>
        <color theme="1"/>
        <rFont val="Noto Sans CJK SC"/>
        <family val="2"/>
      </rPr>
      <t xml:space="preserve">수신 → 담당자 배정 → 상담 결과 기록 → 대기자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원생 전환 연계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중복 신청 병합 규칙 필요</t>
    </r>
  </si>
  <si>
    <t xml:space="preserve">admission_consults</t>
  </si>
  <si>
    <r>
      <rPr>
        <sz val="11"/>
        <color theme="1"/>
        <rFont val="Noto Sans"/>
        <family val="0"/>
        <charset val="1"/>
      </rPr>
      <t xml:space="preserve">F-4.2-1 </t>
    </r>
    <r>
      <rPr>
        <sz val="11"/>
        <color theme="1"/>
        <rFont val="Noto Sans CJK SC"/>
        <family val="2"/>
      </rPr>
      <t xml:space="preserve">대기자</t>
    </r>
    <r>
      <rPr>
        <sz val="11"/>
        <color theme="1"/>
        <rFont val="Noto Sans"/>
        <family val="0"/>
        <charset val="1"/>
      </rPr>
      <t xml:space="preserve">, D.Lab </t>
    </r>
    <r>
      <rPr>
        <sz val="11"/>
        <color theme="1"/>
        <rFont val="Noto Sans CJK SC"/>
        <family val="2"/>
      </rPr>
      <t xml:space="preserve">사이트</t>
    </r>
    <r>
      <rPr>
        <sz val="11"/>
        <color theme="1"/>
        <rFont val="Noto Sans"/>
        <family val="0"/>
        <charset val="1"/>
      </rPr>
      <t xml:space="preserve">(DSD)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</si>
  <si>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관리 화면 없음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현재 </t>
    </r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연동으로 상담신청이 유입 중인 것만 확인 — 엔드포인트 명세 미확보</t>
    </r>
    <r>
      <rPr>
        <sz val="11"/>
        <color theme="1"/>
        <rFont val="Noto Sans"/>
        <family val="0"/>
        <charset val="1"/>
      </rPr>
      <t xml:space="preserve">(S-4)</t>
    </r>
  </si>
  <si>
    <t xml:space="preserve">#13(S-4), #10(S-1)</t>
  </si>
  <si>
    <t xml:space="preserve">F-4.3-1</t>
  </si>
  <si>
    <r>
      <rPr>
        <sz val="11"/>
        <color theme="1"/>
        <rFont val="Noto Sans"/>
        <family val="0"/>
        <charset val="1"/>
      </rPr>
      <t xml:space="preserve">[4.3] </t>
    </r>
    <r>
      <rPr>
        <sz val="11"/>
        <color theme="1"/>
        <rFont val="Noto Sans CJK SC"/>
        <family val="2"/>
      </rPr>
      <t xml:space="preserve">출결 관리</t>
    </r>
  </si>
  <si>
    <t xml:space="preserve">출결 관리</t>
  </si>
  <si>
    <r>
      <rPr>
        <sz val="11"/>
        <color theme="1"/>
        <rFont val="Noto Sans CJK SC"/>
        <family val="2"/>
      </rPr>
      <t xml:space="preserve">키오스크 실시간 수신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대성전산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경유 제거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직접 연동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일별 현황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담당 반 필터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사유 실시간 수신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승인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앱 동적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태깅분 동일 파이프라인 처리</t>
    </r>
  </si>
  <si>
    <r>
      <rPr>
        <sz val="11"/>
        <color theme="1"/>
        <rFont val="Noto Sans"/>
        <family val="0"/>
        <charset val="1"/>
      </rPr>
      <t xml:space="preserve">POST /webhooks/kiosk/attendance — </t>
    </r>
    <r>
      <rPr>
        <sz val="11"/>
        <color theme="1"/>
        <rFont val="Noto Sans CJK SC"/>
        <family val="2"/>
      </rPr>
      <t xml:space="preserve">서명검증 → </t>
    </r>
    <r>
      <rPr>
        <sz val="11"/>
        <color theme="1"/>
        <rFont val="Noto Sans"/>
        <family val="0"/>
        <charset val="1"/>
      </rPr>
      <t xml:space="preserve">NFC/RFID </t>
    </r>
    <r>
      <rPr>
        <sz val="11"/>
        <color theme="1"/>
        <rFont val="Noto Sans CJK SC"/>
        <family val="2"/>
      </rPr>
      <t xml:space="preserve">카드</t>
    </r>
    <r>
      <rPr>
        <sz val="11"/>
        <color theme="1"/>
        <rFont val="Noto Sans"/>
        <family val="0"/>
        <charset val="1"/>
      </rPr>
      <t xml:space="preserve">-</t>
    </r>
    <r>
      <rPr>
        <sz val="11"/>
        <color theme="1"/>
        <rFont val="Noto Sans CJK SC"/>
        <family val="2"/>
      </rPr>
      <t xml:space="preserve">학번 매핑 또는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토큰 검증 → 상태계산</t>
    </r>
    <r>
      <rPr>
        <sz val="11"/>
        <color theme="1"/>
        <rFont val="Noto Sans"/>
        <family val="0"/>
        <charset val="1"/>
      </rPr>
      <t xml:space="preserve">(ON_TIME/LATE/ABSENT/OUT/EXCUSED) → </t>
    </r>
    <r>
      <rPr>
        <sz val="11"/>
        <color theme="1"/>
        <rFont val="Noto Sans CJK SC"/>
        <family val="2"/>
      </rPr>
      <t xml:space="preserve">알림 → </t>
    </r>
    <r>
      <rPr>
        <sz val="11"/>
        <color theme="1"/>
        <rFont val="Noto Sans"/>
        <family val="0"/>
        <charset val="1"/>
      </rPr>
      <t xml:space="preserve">PenaltyRuleEngine </t>
    </r>
    <r>
      <rPr>
        <sz val="11"/>
        <color theme="1"/>
        <rFont val="Noto Sans CJK SC"/>
        <family val="2"/>
      </rPr>
      <t xml:space="preserve">적용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결석은 배치 스케줄러
▷</t>
    </r>
    <r>
      <rPr>
        <sz val="11"/>
        <color theme="1"/>
        <rFont val="Noto Sans"/>
        <family val="0"/>
        <charset val="1"/>
      </rPr>
      <t xml:space="preserve">[0723] </t>
    </r>
    <r>
      <rPr>
        <sz val="11"/>
        <color theme="1"/>
        <rFont val="Noto Sans CJK SC"/>
        <family val="2"/>
      </rPr>
      <t xml:space="preserve">사유 지각신청 없이 미등원 시 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학부모에게 지각 알림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지각사유 회신 요청 자동 발송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무단지각 자동 감지</t>
    </r>
    <r>
      <rPr>
        <sz val="11"/>
        <color theme="1"/>
        <rFont val="Noto Sans"/>
        <family val="0"/>
        <charset val="1"/>
      </rPr>
      <t xml:space="preserve">)</t>
    </r>
  </si>
  <si>
    <t xml:space="preserve">attendance_logs, absence_requests, study_sessions</t>
  </si>
  <si>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A-4 </t>
    </r>
    <r>
      <rPr>
        <sz val="11"/>
        <color theme="1"/>
        <rFont val="Noto Sans CJK SC"/>
        <family val="2"/>
      </rPr>
      <t xml:space="preserve">동적 </t>
    </r>
    <r>
      <rPr>
        <sz val="11"/>
        <color theme="1"/>
        <rFont val="Noto Sans"/>
        <family val="0"/>
        <charset val="1"/>
      </rPr>
      <t xml:space="preserve">QR, </t>
    </r>
    <r>
      <rPr>
        <sz val="11"/>
        <color theme="1"/>
        <rFont val="Noto Sans CJK SC"/>
        <family val="2"/>
      </rPr>
      <t xml:space="preserve">키오스크</t>
    </r>
  </si>
  <si>
    <r>
      <rPr>
        <sz val="11"/>
        <color theme="1"/>
        <rFont val="Noto Sans"/>
        <family val="0"/>
        <charset val="1"/>
      </rPr>
      <t xml:space="preserve">DSA 'D.Lab&gt;</t>
    </r>
    <r>
      <rPr>
        <sz val="11"/>
        <color theme="1"/>
        <rFont val="Noto Sans CJK SC"/>
        <family val="2"/>
      </rPr>
      <t xml:space="preserve">출결 관리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검색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반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좌석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출결목록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등원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하원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외출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공부시간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학습시간 일괄계산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직접 </t>
    </r>
    <r>
      <rPr>
        <sz val="11"/>
        <color theme="1"/>
        <rFont val="Noto Sans"/>
        <family val="0"/>
        <charset val="1"/>
      </rPr>
      <t xml:space="preserve">Webhook </t>
    </r>
    <r>
      <rPr>
        <sz val="11"/>
        <color theme="1"/>
        <rFont val="Noto Sans CJK SC"/>
        <family val="2"/>
      </rPr>
      <t xml:space="preserve">연동</t>
    </r>
    <r>
      <rPr>
        <sz val="11"/>
        <color theme="1"/>
        <rFont val="Noto Sans"/>
        <family val="0"/>
        <charset val="1"/>
      </rPr>
      <t xml:space="preserve">·QR </t>
    </r>
    <r>
      <rPr>
        <sz val="11"/>
        <color theme="1"/>
        <rFont val="Noto Sans CJK SC"/>
        <family val="2"/>
      </rPr>
      <t xml:space="preserve">경로는 신규</t>
    </r>
  </si>
  <si>
    <t xml:space="preserve">#2(D-2)</t>
  </si>
  <si>
    <t xml:space="preserve">F-4.3-2</t>
  </si>
  <si>
    <r>
      <rPr>
        <sz val="11"/>
        <color theme="1"/>
        <rFont val="Noto Sans CJK SC"/>
        <family val="2"/>
      </rPr>
      <t xml:space="preserve">좌석 이탈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복귀 현황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</si>
  <si>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사감 순찰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구역 </t>
    </r>
    <r>
      <rPr>
        <sz val="11"/>
        <color theme="1"/>
        <rFont val="Noto Sans"/>
        <family val="0"/>
        <charset val="1"/>
      </rPr>
      <t xml:space="preserve">QR) </t>
    </r>
    <r>
      <rPr>
        <sz val="11"/>
        <color theme="1"/>
        <rFont val="Noto Sans CJK SC"/>
        <family val="2"/>
      </rPr>
      <t xml:space="preserve">전면 폐기 → 대체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입력 원천 </t>
    </r>
    <r>
      <rPr>
        <sz val="11"/>
        <color theme="1"/>
        <rFont val="Noto Sans"/>
        <family val="0"/>
        <charset val="1"/>
      </rPr>
      <t xml:space="preserve">= </t>
    </r>
    <r>
      <rPr>
        <sz val="11"/>
        <color theme="1"/>
        <rFont val="Noto Sans CJK SC"/>
        <family val="2"/>
      </rPr>
      <t xml:space="preserve">키오스크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태블릿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학생이 키오스크에서 이동 위치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강의실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화장실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공용공간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교과실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본인좌석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를 선택하면 관리자 웹 좌석표와 앱에 실시간 표시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앱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관리자 페이지는 조회 전용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신청 기능 없음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</si>
  <si>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POST /webhooks/kiosk/seat-move(</t>
    </r>
    <r>
      <rPr>
        <sz val="11"/>
        <color theme="1"/>
        <rFont val="Noto Sans CJK SC"/>
        <family val="2"/>
      </rPr>
      <t xml:space="preserve">서명검증</t>
    </r>
    <r>
      <rPr>
        <sz val="11"/>
        <color theme="1"/>
        <rFont val="Noto Sans"/>
        <family val="0"/>
        <charset val="1"/>
      </rPr>
      <t xml:space="preserve">) → seat_move_logs </t>
    </r>
    <r>
      <rPr>
        <sz val="11"/>
        <color theme="1"/>
        <rFont val="Noto Sans CJK SC"/>
        <family val="2"/>
      </rPr>
      <t xml:space="preserve">적재 → 좌석표 실시간 반영</t>
    </r>
    <r>
      <rPr>
        <sz val="11"/>
        <color theme="1"/>
        <rFont val="Noto Sans"/>
        <family val="0"/>
        <charset val="1"/>
      </rPr>
      <t xml:space="preserve">(SSE </t>
    </r>
    <r>
      <rPr>
        <sz val="11"/>
        <color theme="1"/>
        <rFont val="Noto Sans CJK SC"/>
        <family val="2"/>
      </rPr>
      <t xml:space="preserve">또는 폴링</t>
    </r>
    <r>
      <rPr>
        <sz val="11"/>
        <color theme="1"/>
        <rFont val="Noto Sans"/>
        <family val="0"/>
        <charset val="1"/>
      </rPr>
      <t xml:space="preserve">) → </t>
    </r>
    <r>
      <rPr>
        <sz val="11"/>
        <color theme="1"/>
        <rFont val="Noto Sans CJK SC"/>
        <family val="2"/>
      </rPr>
      <t xml:space="preserve">앱 표시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위치 구분값 마스터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장시간 미복귀 알림 임계값 필요</t>
    </r>
    <r>
      <rPr>
        <sz val="11"/>
        <color theme="1"/>
        <rFont val="Noto Sans"/>
        <family val="0"/>
        <charset val="1"/>
      </rPr>
      <t xml:space="preserve">. patrol_logs</t>
    </r>
    <r>
      <rPr>
        <sz val="11"/>
        <color theme="1"/>
        <rFont val="Noto Sans CJK SC"/>
        <family val="2"/>
      </rPr>
      <t xml:space="preserve">는 좌석 이탈 이력으로 재정의</t>
    </r>
  </si>
  <si>
    <r>
      <rPr>
        <sz val="11"/>
        <color theme="1"/>
        <rFont val="Noto Sans"/>
        <family val="0"/>
        <charset val="1"/>
      </rPr>
      <t xml:space="preserve">seat_move_logs(</t>
    </r>
    <r>
      <rPr>
        <sz val="11"/>
        <color theme="1"/>
        <rFont val="Noto Sans CJK SC"/>
        <family val="2"/>
      </rPr>
      <t xml:space="preserve">구 </t>
    </r>
    <r>
      <rPr>
        <sz val="11"/>
        <color theme="1"/>
        <rFont val="Noto Sans"/>
        <family val="0"/>
        <charset val="1"/>
      </rPr>
      <t xml:space="preserve">patrol_logs </t>
    </r>
    <r>
      <rPr>
        <sz val="11"/>
        <color theme="1"/>
        <rFont val="Noto Sans CJK SC"/>
        <family val="2"/>
      </rPr>
      <t xml:space="preserve">재정의</t>
    </r>
    <r>
      <rPr>
        <sz val="11"/>
        <color theme="1"/>
        <rFont val="Noto Sans"/>
        <family val="0"/>
        <charset val="1"/>
      </rPr>
      <t xml:space="preserve">), seat_map(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</si>
  <si>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키오스크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A-5, F-4.3-1 </t>
    </r>
    <r>
      <rPr>
        <sz val="11"/>
        <color theme="1"/>
        <rFont val="Noto Sans CJK SC"/>
        <family val="2"/>
      </rPr>
      <t xml:space="preserve">출결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</si>
  <si>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화면 없음 — 완전 신규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키오스크 증설 중단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잔여 </t>
    </r>
    <r>
      <rPr>
        <sz val="11"/>
        <color theme="1"/>
        <rFont val="Noto Sans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대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으로 태블릿 병행 배치 전제</t>
    </r>
  </si>
  <si>
    <t xml:space="preserve">#36(I-16), #2(D-2)</t>
  </si>
  <si>
    <t xml:space="preserve">F-4.4-1</t>
  </si>
  <si>
    <r>
      <rPr>
        <sz val="11"/>
        <color theme="1"/>
        <rFont val="Noto Sans"/>
        <family val="0"/>
        <charset val="1"/>
      </rPr>
      <t xml:space="preserve">[4.4] </t>
    </r>
    <r>
      <rPr>
        <sz val="11"/>
        <color theme="1"/>
        <rFont val="Noto Sans CJK SC"/>
        <family val="2"/>
      </rPr>
      <t xml:space="preserve">메시지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알림</t>
    </r>
  </si>
  <si>
    <r>
      <rPr>
        <sz val="11"/>
        <color theme="1"/>
        <rFont val="Noto Sans CJK SC"/>
        <family val="2"/>
      </rPr>
      <t xml:space="preserve">알림 발송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카카오 알림톡 </t>
    </r>
    <r>
      <rPr>
        <sz val="11"/>
        <color theme="1"/>
        <rFont val="Noto Sans"/>
        <family val="0"/>
        <charset val="1"/>
      </rPr>
      <t xml:space="preserve">+ FCM)</t>
    </r>
  </si>
  <si>
    <r>
      <rPr>
        <sz val="11"/>
        <color theme="1"/>
        <rFont val="Noto Sans CJK SC"/>
        <family val="2"/>
      </rPr>
      <t xml:space="preserve">개별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단체 발송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출결 자동 발송 템플릿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등원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지각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결석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대기자 알림 자동 발송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발송 이력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도달여부 조회</t>
    </r>
  </si>
  <si>
    <r>
      <rPr>
        <sz val="11"/>
        <color theme="1"/>
        <rFont val="Noto Sans CJK SC"/>
        <family val="2"/>
      </rPr>
      <t xml:space="preserve">알림 채널 이중화 — 카카오 알림톡 </t>
    </r>
    <r>
      <rPr>
        <sz val="11"/>
        <color theme="1"/>
        <rFont val="Noto Sans"/>
        <family val="0"/>
        <charset val="1"/>
      </rPr>
      <t xml:space="preserve">+ FCM. SMS </t>
    </r>
    <r>
      <rPr>
        <sz val="11"/>
        <color theme="1"/>
        <rFont val="Noto Sans CJK SC"/>
        <family val="2"/>
      </rPr>
      <t xml:space="preserve">폴백 없음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이벤트별 채널 매핑표에 따라 라우팅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알림톡 미승인 구간 대비 미도달 적재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재발송 큐 필요</t>
    </r>
  </si>
  <si>
    <t xml:space="preserve">notification_logs, notification_templates</t>
  </si>
  <si>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A-21 </t>
    </r>
    <r>
      <rPr>
        <sz val="11"/>
        <color theme="1"/>
        <rFont val="Noto Sans CJK SC"/>
        <family val="2"/>
      </rPr>
      <t xml:space="preserve">알림 설정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</si>
  <si>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문자발송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메시지 단체발송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상세 검색필터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대상 조회인원</t>
    </r>
    <r>
      <rPr>
        <sz val="11"/>
        <color theme="1"/>
        <rFont val="Noto Sans"/>
        <family val="0"/>
        <charset val="1"/>
      </rPr>
      <t xml:space="preserve">(189</t>
    </r>
    <r>
      <rPr>
        <sz val="11"/>
        <color theme="1"/>
        <rFont val="Noto Sans CJK SC"/>
        <family val="2"/>
      </rPr>
      <t xml:space="preserve">명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직접입력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고정메시지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예약발송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카카오 전환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자동발송 템플릿은 신규</t>
    </r>
  </si>
  <si>
    <t xml:space="preserve">#19(E-5), #24(I-4), #34(I-14)</t>
  </si>
  <si>
    <t xml:space="preserve">F-4.4-2</t>
  </si>
  <si>
    <t xml:space="preserve">알림 템플릿 관리</t>
  </si>
  <si>
    <r>
      <rPr>
        <sz val="11"/>
        <color theme="1"/>
        <rFont val="Noto Sans CJK SC"/>
        <family val="2"/>
      </rPr>
      <t xml:space="preserve">알림톡</t>
    </r>
    <r>
      <rPr>
        <sz val="11"/>
        <color theme="1"/>
        <rFont val="Noto Sans"/>
        <family val="0"/>
        <charset val="1"/>
      </rPr>
      <t xml:space="preserve">/FCM </t>
    </r>
    <r>
      <rPr>
        <sz val="11"/>
        <color theme="1"/>
        <rFont val="Noto Sans CJK SC"/>
        <family val="2"/>
      </rPr>
      <t xml:space="preserve">템플릿 등록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버전 관리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이벤트↔채널 매핑표 관리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알림톡 템플릿 심사 상태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대기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승인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반려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</si>
  <si>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notification_templates(code, channel, title, body, variables[], review_status). </t>
    </r>
    <r>
      <rPr>
        <sz val="11"/>
        <color theme="1"/>
        <rFont val="Noto Sans CJK SC"/>
        <family val="2"/>
      </rPr>
      <t xml:space="preserve">이벤트 타입별 채널 라우팅 정책을 코드가 아닌 데이터로 관리 → </t>
    </r>
    <r>
      <rPr>
        <sz val="11"/>
        <color theme="1"/>
        <rFont val="Noto Sans"/>
        <family val="0"/>
        <charset val="1"/>
      </rPr>
      <t xml:space="preserve">NotificationService.routingPolicy</t>
    </r>
    <r>
      <rPr>
        <sz val="11"/>
        <color theme="1"/>
        <rFont val="Noto Sans CJK SC"/>
        <family val="2"/>
      </rPr>
      <t xml:space="preserve">가 참조</t>
    </r>
  </si>
  <si>
    <t xml:space="preserve">notification_templates</t>
  </si>
  <si>
    <r>
      <rPr>
        <sz val="11"/>
        <color theme="1"/>
        <rFont val="Noto Sans"/>
        <family val="0"/>
        <charset val="1"/>
      </rPr>
      <t xml:space="preserve">F-4.4-1 </t>
    </r>
    <r>
      <rPr>
        <sz val="11"/>
        <color theme="1"/>
        <rFont val="Noto Sans CJK SC"/>
        <family val="2"/>
      </rPr>
      <t xml:space="preserve">알림 발송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</si>
  <si>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고정메시지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선택 </t>
    </r>
    <r>
      <rPr>
        <sz val="11"/>
        <color theme="1"/>
        <rFont val="Noto Sans"/>
        <family val="0"/>
        <charset val="1"/>
      </rPr>
      <t xml:space="preserve">UI</t>
    </r>
    <r>
      <rPr>
        <sz val="11"/>
        <color theme="1"/>
        <rFont val="Noto Sans CJK SC"/>
        <family val="2"/>
      </rPr>
      <t xml:space="preserve">만 존재하고 템플릿 </t>
    </r>
    <r>
      <rPr>
        <sz val="11"/>
        <color theme="1"/>
        <rFont val="Noto Sans"/>
        <family val="0"/>
        <charset val="1"/>
      </rPr>
      <t xml:space="preserve">CRUD·</t>
    </r>
    <r>
      <rPr>
        <sz val="11"/>
        <color theme="1"/>
        <rFont val="Noto Sans CJK SC"/>
        <family val="2"/>
      </rPr>
      <t xml:space="preserve">심사상태 관리 화면 없음 → 신규</t>
    </r>
    <r>
      <rPr>
        <sz val="11"/>
        <color theme="1"/>
        <rFont val="Noto Sans"/>
        <family val="0"/>
        <charset val="1"/>
      </rPr>
      <t xml:space="preserve">(0803)</t>
    </r>
  </si>
  <si>
    <t xml:space="preserve">#24(I-4), #19(E-5), #34(I-14)</t>
  </si>
  <si>
    <t xml:space="preserve">F-4.5</t>
  </si>
  <si>
    <r>
      <rPr>
        <sz val="11"/>
        <color theme="1"/>
        <rFont val="Noto Sans"/>
        <family val="0"/>
        <charset val="1"/>
      </rPr>
      <t xml:space="preserve">[4.5] </t>
    </r>
    <r>
      <rPr>
        <sz val="11"/>
        <color theme="1"/>
        <rFont val="Noto Sans CJK SC"/>
        <family val="2"/>
      </rPr>
      <t xml:space="preserve">급식 관리</t>
    </r>
  </si>
  <si>
    <t xml:space="preserve">급식 관리</t>
  </si>
  <si>
    <r>
      <rPr>
        <sz val="11"/>
        <color theme="1"/>
        <rFont val="Noto Sans CJK SC"/>
        <family val="2"/>
      </rPr>
      <t xml:space="preserve">월별 신청 현황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결제 내역 조회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관리자 취소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기간 제한 없이 즉시</t>
    </r>
    <r>
      <rPr>
        <sz val="11"/>
        <color theme="1"/>
        <rFont val="Noto Sans"/>
        <family val="0"/>
        <charset val="1"/>
      </rPr>
      <t xml:space="preserve">)/</t>
    </r>
    <r>
      <rPr>
        <sz val="11"/>
        <color theme="1"/>
        <rFont val="Noto Sans CJK SC"/>
        <family val="2"/>
      </rPr>
      <t xml:space="preserve">앱 취소</t>
    </r>
    <r>
      <rPr>
        <sz val="11"/>
        <color theme="1"/>
        <rFont val="Noto Sans"/>
        <family val="0"/>
        <charset val="1"/>
      </rPr>
      <t xml:space="preserve">(3</t>
    </r>
    <r>
      <rPr>
        <sz val="11"/>
        <color theme="1"/>
        <rFont val="Noto Sans CJK SC"/>
        <family val="2"/>
      </rPr>
      <t xml:space="preserve">일 전</t>
    </r>
    <r>
      <rPr>
        <sz val="11"/>
        <color theme="1"/>
        <rFont val="Noto Sans"/>
        <family val="0"/>
        <charset val="1"/>
      </rPr>
      <t xml:space="preserve">, PG </t>
    </r>
    <r>
      <rPr>
        <sz val="11"/>
        <color theme="1"/>
        <rFont val="Noto Sans CJK SC"/>
        <family val="2"/>
      </rPr>
      <t xml:space="preserve">자동환불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수납 자동 반영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데스크 당일 신청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급식업체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연동 폐기 — 디랩 자체 명의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단일 연동</t>
    </r>
  </si>
  <si>
    <r>
      <rPr>
        <sz val="11"/>
        <color theme="1"/>
        <rFont val="Noto Sans"/>
        <family val="0"/>
        <charset val="1"/>
      </rPr>
      <t xml:space="preserve">MealPolicy(</t>
    </r>
    <r>
      <rPr>
        <sz val="11"/>
        <color theme="1"/>
        <rFont val="Noto Sans CJK SC"/>
        <family val="2"/>
      </rPr>
      <t xml:space="preserve">주말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공휴일 제외</t>
    </r>
    <r>
      <rPr>
        <sz val="11"/>
        <color theme="1"/>
        <rFont val="Noto Sans"/>
        <family val="0"/>
        <charset val="1"/>
      </rPr>
      <t xml:space="preserve">), createOrder(</t>
    </r>
    <r>
      <rPr>
        <sz val="11"/>
        <color theme="1"/>
        <rFont val="Noto Sans CJK SC"/>
        <family val="2"/>
      </rPr>
      <t xml:space="preserve">카드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가상계좌 분기</t>
    </r>
    <r>
      <rPr>
        <sz val="11"/>
        <color theme="1"/>
        <rFont val="Noto Sans"/>
        <family val="0"/>
        <charset val="1"/>
      </rPr>
      <t xml:space="preserve">), cancelItem(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일전 </t>
    </r>
    <r>
      <rPr>
        <sz val="11"/>
        <color theme="1"/>
        <rFont val="Noto Sans"/>
        <family val="0"/>
        <charset val="1"/>
      </rPr>
      <t xml:space="preserve">PG</t>
    </r>
    <r>
      <rPr>
        <sz val="11"/>
        <color theme="1"/>
        <rFont val="Noto Sans CJK SC"/>
        <family val="2"/>
      </rPr>
      <t xml:space="preserve">환불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관리자 즉시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가상계좌 만료 스케줄러</t>
    </r>
    <r>
      <rPr>
        <sz val="11"/>
        <color theme="1"/>
        <rFont val="Noto Sans"/>
        <family val="0"/>
        <charset val="1"/>
      </rPr>
      <t xml:space="preserve">(10</t>
    </r>
    <r>
      <rPr>
        <sz val="11"/>
        <color theme="1"/>
        <rFont val="Noto Sans CJK SC"/>
        <family val="2"/>
      </rPr>
      <t xml:space="preserve">분 주기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대금흐름 </t>
    </r>
    <r>
      <rPr>
        <sz val="11"/>
        <color theme="1"/>
        <rFont val="Noto Sans"/>
        <family val="0"/>
        <charset val="1"/>
      </rPr>
      <t xml:space="preserve">= </t>
    </r>
    <r>
      <rPr>
        <sz val="11"/>
        <color theme="1"/>
        <rFont val="Noto Sans CJK SC"/>
        <family val="2"/>
      </rPr>
      <t xml:space="preserve">디랩 수취 → 급식업체에 식수 기준 정산 지급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시스템 연동 불요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정산 리포트만 제공</t>
    </r>
    <r>
      <rPr>
        <sz val="11"/>
        <color theme="1"/>
        <rFont val="Noto Sans"/>
        <family val="0"/>
        <charset val="1"/>
      </rPr>
      <t xml:space="preserve">)
▷[0723] </t>
    </r>
    <r>
      <rPr>
        <sz val="11"/>
        <color theme="1"/>
        <rFont val="Noto Sans CJK SC"/>
        <family val="2"/>
      </rPr>
      <t xml:space="preserve">식사체크 주체</t>
    </r>
    <r>
      <rPr>
        <sz val="11"/>
        <color theme="1"/>
        <rFont val="Noto Sans"/>
        <family val="0"/>
        <charset val="1"/>
      </rPr>
      <t xml:space="preserve">=</t>
    </r>
    <r>
      <rPr>
        <sz val="11"/>
        <color theme="1"/>
        <rFont val="Noto Sans CJK SC"/>
        <family val="2"/>
      </rPr>
      <t xml:space="preserve">관리자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교직원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키오스크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관리자용 소형 패드 병행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생체인식은 검토대상</t>
    </r>
    <r>
      <rPr>
        <sz val="11"/>
        <color theme="1"/>
        <rFont val="Noto Sans"/>
        <family val="0"/>
        <charset val="1"/>
      </rPr>
      <t xml:space="preserve">(ISMS </t>
    </r>
    <r>
      <rPr>
        <sz val="11"/>
        <color theme="1"/>
        <rFont val="Noto Sans CJK SC"/>
        <family val="2"/>
      </rPr>
      <t xml:space="preserve">유의</t>
    </r>
    <r>
      <rPr>
        <sz val="11"/>
        <color theme="1"/>
        <rFont val="Noto Sans"/>
        <family val="0"/>
        <charset val="1"/>
      </rPr>
      <t xml:space="preserve">)</t>
    </r>
  </si>
  <si>
    <t xml:space="preserve">meal_orders, meal_order_items, meal_policies, payment_transactions</t>
  </si>
  <si>
    <r>
      <rPr>
        <sz val="11"/>
        <color theme="1"/>
        <rFont val="Noto Sans"/>
        <family val="0"/>
        <charset val="1"/>
      </rPr>
      <t xml:space="preserve">F-4.8-1 </t>
    </r>
    <r>
      <rPr>
        <sz val="11"/>
        <color theme="1"/>
        <rFont val="Noto Sans CJK SC"/>
        <family val="2"/>
      </rPr>
      <t xml:space="preserve">수납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키오스크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식사체크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</si>
  <si>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디멤버 급식신청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신청관리</t>
    </r>
    <r>
      <rPr>
        <sz val="11"/>
        <color theme="1"/>
        <rFont val="Noto Sans"/>
        <family val="0"/>
        <charset val="1"/>
      </rPr>
      <t xml:space="preserve">' UI </t>
    </r>
    <r>
      <rPr>
        <sz val="11"/>
        <color theme="1"/>
        <rFont val="Noto Sans CJK SC"/>
        <family val="2"/>
      </rPr>
      <t xml:space="preserve">구조만 참고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결제분기</t>
    </r>
    <r>
      <rPr>
        <sz val="11"/>
        <color theme="1"/>
        <rFont val="Noto Sans"/>
        <family val="0"/>
        <charset val="1"/>
      </rPr>
      <t xml:space="preserve">·3</t>
    </r>
    <r>
      <rPr>
        <sz val="11"/>
        <color theme="1"/>
        <rFont val="Noto Sans CJK SC"/>
        <family val="2"/>
      </rPr>
      <t xml:space="preserve">일취소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수납자동반영 로직은 전량 신규</t>
    </r>
  </si>
  <si>
    <t xml:space="preserve">#33(I-13), #38(I-18)</t>
  </si>
  <si>
    <t xml:space="preserve">F-4.6-1</t>
  </si>
  <si>
    <r>
      <rPr>
        <sz val="11"/>
        <color theme="1"/>
        <rFont val="Noto Sans"/>
        <family val="0"/>
        <charset val="1"/>
      </rPr>
      <t xml:space="preserve">[4.6] </t>
    </r>
    <r>
      <rPr>
        <sz val="11"/>
        <color theme="1"/>
        <rFont val="Noto Sans CJK SC"/>
        <family val="2"/>
      </rPr>
      <t xml:space="preserve">성적 관리</t>
    </r>
  </si>
  <si>
    <t xml:space="preserve">성적 관리</t>
  </si>
  <si>
    <r>
      <rPr>
        <sz val="11"/>
        <color theme="1"/>
        <rFont val="Noto Sans CJK SC"/>
        <family val="2"/>
      </rPr>
      <t xml:space="preserve">더프리미엄모의고사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자동 조회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저장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성적표 </t>
    </r>
    <r>
      <rPr>
        <sz val="11"/>
        <color theme="1"/>
        <rFont val="Noto Sans"/>
        <family val="0"/>
        <charset val="1"/>
      </rPr>
      <t xml:space="preserve">PDF→D.Lab </t>
    </r>
    <r>
      <rPr>
        <sz val="11"/>
        <color theme="1"/>
        <rFont val="Noto Sans CJK SC"/>
        <family val="2"/>
      </rPr>
      <t xml:space="preserve">사이트 업로드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상세 성적 엑셀 업로드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회차별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단원별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전국대비 정답률</t>
    </r>
    <r>
      <rPr>
        <sz val="11"/>
        <color theme="1"/>
        <rFont val="Noto Sans"/>
        <family val="0"/>
        <charset val="1"/>
      </rPr>
      <t xml:space="preserve">) → </t>
    </r>
    <r>
      <rPr>
        <sz val="11"/>
        <color theme="1"/>
        <rFont val="Noto Sans CJK SC"/>
        <family val="2"/>
      </rPr>
      <t xml:space="preserve">상담 리포트 결합</t>
    </r>
  </si>
  <si>
    <r>
      <rPr>
        <sz val="11"/>
        <color theme="1"/>
        <rFont val="Noto Sans"/>
        <family val="0"/>
        <charset val="1"/>
      </rPr>
      <t xml:space="preserve">ScoreService.fetchAndSync(</t>
    </r>
    <r>
      <rPr>
        <sz val="11"/>
        <color theme="1"/>
        <rFont val="Noto Sans CJK SC"/>
        <family val="2"/>
      </rPr>
      <t xml:space="preserve">전화번호 기반 조회</t>
    </r>
    <r>
      <rPr>
        <sz val="11"/>
        <color theme="1"/>
        <rFont val="Noto Sans"/>
        <family val="0"/>
        <charset val="1"/>
      </rPr>
      <t xml:space="preserve">), uploadScorePdf(Storage </t>
    </r>
    <r>
      <rPr>
        <sz val="11"/>
        <color theme="1"/>
        <rFont val="Noto Sans CJK SC"/>
        <family val="2"/>
      </rPr>
      <t xml:space="preserve">업로드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대성 알림</t>
    </r>
    <r>
      <rPr>
        <sz val="11"/>
        <color theme="1"/>
        <rFont val="Noto Sans"/>
        <family val="0"/>
        <charset val="1"/>
      </rPr>
      <t xml:space="preserve">), previewDetail(</t>
    </r>
    <r>
      <rPr>
        <sz val="11"/>
        <color theme="1"/>
        <rFont val="Noto Sans CJK SC"/>
        <family val="2"/>
      </rPr>
      <t xml:space="preserve">엑셀 미리보기</t>
    </r>
    <r>
      <rPr>
        <sz val="11"/>
        <color theme="1"/>
        <rFont val="Noto Sans"/>
        <family val="0"/>
        <charset val="1"/>
      </rPr>
      <t xml:space="preserve">, ColumnMapping </t>
    </r>
    <r>
      <rPr>
        <sz val="11"/>
        <color theme="1"/>
        <rFont val="Noto Sans CJK SC"/>
        <family val="2"/>
      </rPr>
      <t xml:space="preserve">기반</t>
    </r>
    <r>
      <rPr>
        <sz val="11"/>
        <color theme="1"/>
        <rFont val="Noto Sans"/>
        <family val="0"/>
        <charset val="1"/>
      </rPr>
      <t xml:space="preserve">)
▷[0723] </t>
    </r>
    <r>
      <rPr>
        <sz val="11"/>
        <color theme="1"/>
        <rFont val="Noto Sans CJK SC"/>
        <family val="2"/>
      </rPr>
      <t xml:space="preserve">전과목 등급 표시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등급 표기 방식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백분위</t>
    </r>
    <r>
      <rPr>
        <sz val="11"/>
        <color theme="1"/>
        <rFont val="Noto Sans"/>
        <family val="0"/>
        <charset val="1"/>
      </rPr>
      <t xml:space="preserve">%/</t>
    </r>
    <r>
      <rPr>
        <sz val="11"/>
        <color theme="1"/>
        <rFont val="Noto Sans CJK SC"/>
        <family val="2"/>
      </rPr>
      <t xml:space="preserve">평균 등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은 클라이언트 회신 대기</t>
    </r>
  </si>
  <si>
    <t xml:space="preserve">score_records, score_detail_uploads</t>
  </si>
  <si>
    <r>
      <rPr>
        <sz val="11"/>
        <color theme="1"/>
        <rFont val="Noto Sans"/>
        <family val="0"/>
        <charset val="1"/>
      </rPr>
      <t xml:space="preserve">F-4.11-4 </t>
    </r>
    <r>
      <rPr>
        <sz val="11"/>
        <color theme="1"/>
        <rFont val="Noto Sans CJK SC"/>
        <family val="2"/>
      </rPr>
      <t xml:space="preserve">상담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A-10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</si>
  <si>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교무업무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모의고사 결시자 현황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은 목적이 다름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성적 자동조회</t>
    </r>
    <r>
      <rPr>
        <sz val="11"/>
        <color theme="1"/>
        <rFont val="Noto Sans"/>
        <family val="0"/>
        <charset val="1"/>
      </rPr>
      <t xml:space="preserve">·PDF</t>
    </r>
    <r>
      <rPr>
        <sz val="11"/>
        <color theme="1"/>
        <rFont val="Noto Sans CJK SC"/>
        <family val="2"/>
      </rPr>
      <t xml:space="preserve">업로드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상세분석 전체가 신규</t>
    </r>
  </si>
  <si>
    <t xml:space="preserve">#16(E-2), #11(S-2), #31(I-11)</t>
  </si>
  <si>
    <t xml:space="preserve">F-4.6-2</t>
  </si>
  <si>
    <r>
      <rPr>
        <sz val="11"/>
        <color theme="1"/>
        <rFont val="Noto Sans CJK SC"/>
        <family val="2"/>
      </rPr>
      <t xml:space="preserve">설문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가채점 설문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템플릿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</si>
  <si>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가채점 설문 생성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배포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수집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설문 템플릿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재사용</t>
    </r>
    <r>
      <rPr>
        <sz val="11"/>
        <color theme="1"/>
        <rFont val="Noto Sans"/>
        <family val="0"/>
        <charset val="1"/>
      </rPr>
      <t xml:space="preserve">)</t>
    </r>
  </si>
  <si>
    <t xml:space="preserve">POST /api/v1/surveys(+publish), GET .../responses|results, survey-templates CRUD + instantiate</t>
  </si>
  <si>
    <t xml:space="preserve">surveys, survey_questions, survey_responses, survey_answers, survey_templates</t>
  </si>
  <si>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A-14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</si>
  <si>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화면 없음 — 완전 신규</t>
    </r>
  </si>
  <si>
    <t xml:space="preserve">F-4.7</t>
  </si>
  <si>
    <r>
      <rPr>
        <sz val="11"/>
        <color theme="1"/>
        <rFont val="Noto Sans"/>
        <family val="0"/>
        <charset val="1"/>
      </rPr>
      <t xml:space="preserve">[4.7] </t>
    </r>
    <r>
      <rPr>
        <sz val="11"/>
        <color theme="1"/>
        <rFont val="Noto Sans CJK SC"/>
        <family val="2"/>
      </rPr>
      <t xml:space="preserve">특강 관리</t>
    </r>
  </si>
  <si>
    <t xml:space="preserve">특강 관리</t>
  </si>
  <si>
    <r>
      <rPr>
        <sz val="11"/>
        <color theme="1"/>
        <rFont val="Noto Sans CJK SC"/>
        <family val="2"/>
      </rPr>
      <t xml:space="preserve">특강 신청자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대기자 목록 조회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관리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출석 현황 관리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설명회 신청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</si>
  <si>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공통 모듈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동적 검색 빌더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엑셀 </t>
    </r>
    <r>
      <rPr>
        <sz val="11"/>
        <color theme="1"/>
        <rFont val="Noto Sans"/>
        <family val="0"/>
        <charset val="1"/>
      </rPr>
      <t xml:space="preserve">Import/Export) </t>
    </r>
    <r>
      <rPr>
        <sz val="11"/>
        <color theme="1"/>
        <rFont val="Noto Sans CJK SC"/>
        <family val="2"/>
      </rPr>
      <t xml:space="preserve">활용</t>
    </r>
  </si>
  <si>
    <r>
      <rPr>
        <sz val="11"/>
        <color theme="1"/>
        <rFont val="Noto Sans"/>
        <family val="0"/>
        <charset val="1"/>
      </rPr>
      <t xml:space="preserve">F-4.10-4 </t>
    </r>
    <r>
      <rPr>
        <sz val="11"/>
        <color theme="1"/>
        <rFont val="Noto Sans CJK SC"/>
        <family val="2"/>
      </rPr>
      <t xml:space="preserve">특강 기초설정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A-15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</si>
  <si>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특강관리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접수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신청명단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조건검색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진행상태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일괄이동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수정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  <r>
      <rPr>
        <sz val="11"/>
        <color theme="1"/>
        <rFont val="Noto Sans"/>
        <family val="0"/>
        <charset val="1"/>
      </rPr>
      <t xml:space="preserve">. '</t>
    </r>
    <r>
      <rPr>
        <sz val="11"/>
        <color theme="1"/>
        <rFont val="Noto Sans CJK SC"/>
        <family val="2"/>
      </rPr>
      <t xml:space="preserve">설명회 신청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만 화면 없음</t>
    </r>
  </si>
  <si>
    <t xml:space="preserve">F-4.8-1</t>
  </si>
  <si>
    <r>
      <rPr>
        <sz val="11"/>
        <color theme="1"/>
        <rFont val="Noto Sans"/>
        <family val="0"/>
        <charset val="1"/>
      </rPr>
      <t xml:space="preserve">[4.8] </t>
    </r>
    <r>
      <rPr>
        <sz val="11"/>
        <color theme="1"/>
        <rFont val="Noto Sans CJK SC"/>
        <family val="2"/>
      </rPr>
      <t xml:space="preserve">수납 관리</t>
    </r>
  </si>
  <si>
    <t xml:space="preserve">수납현황</t>
  </si>
  <si>
    <r>
      <rPr>
        <sz val="11"/>
        <color theme="1"/>
        <rFont val="Noto Sans CJK SC"/>
        <family val="2"/>
      </rPr>
      <t xml:space="preserve">카드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가상계좌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등록비 통합 매출 조회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기간별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지점별 수납 통계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미납자 목록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알림 자동 발송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자체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직접 결제 확정 — 청구생성→결제→수납반영→미납추출 전 구간 자체 라이프사이클</t>
    </r>
  </si>
  <si>
    <r>
      <rPr>
        <sz val="11"/>
        <color theme="1"/>
        <rFont val="Noto Sans"/>
        <family val="0"/>
        <charset val="1"/>
      </rPr>
      <t xml:space="preserve">RBAC: SUPER/BRANCH </t>
    </r>
    <r>
      <rPr>
        <sz val="11"/>
        <color theme="1"/>
        <rFont val="Noto Sans CJK SC"/>
        <family val="2"/>
      </rPr>
      <t xml:space="preserve">전체</t>
    </r>
    <r>
      <rPr>
        <sz val="11"/>
        <color theme="1"/>
        <rFont val="Noto Sans"/>
        <family val="0"/>
        <charset val="1"/>
      </rPr>
      <t xml:space="preserve">, STAFF </t>
    </r>
    <r>
      <rPr>
        <sz val="11"/>
        <color theme="1"/>
        <rFont val="Noto Sans CJK SC"/>
        <family val="2"/>
      </rPr>
      <t xml:space="preserve">조회만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대성전산 </t>
    </r>
    <r>
      <rPr>
        <sz val="11"/>
        <color theme="1"/>
        <rFont val="Noto Sans"/>
        <family val="0"/>
        <charset val="1"/>
      </rPr>
      <t xml:space="preserve">API</t>
    </r>
    <r>
      <rPr>
        <sz val="11"/>
        <color theme="1"/>
        <rFont val="Noto Sans CJK SC"/>
        <family val="2"/>
      </rPr>
      <t xml:space="preserve">는 과거 수납이력 이관</t>
    </r>
    <r>
      <rPr>
        <sz val="11"/>
        <color theme="1"/>
        <rFont val="Noto Sans"/>
        <family val="0"/>
        <charset val="1"/>
      </rPr>
      <t xml:space="preserve">(D-1) </t>
    </r>
    <r>
      <rPr>
        <sz val="11"/>
        <color theme="1"/>
        <rFont val="Noto Sans CJK SC"/>
        <family val="2"/>
      </rPr>
      <t xml:space="preserve">전용으로만 잔존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신규 거래 연동 없음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급식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등록비 동일 </t>
    </r>
    <r>
      <rPr>
        <sz val="11"/>
        <color theme="1"/>
        <rFont val="Noto Sans"/>
        <family val="0"/>
        <charset val="1"/>
      </rPr>
      <t xml:space="preserve">PG → PgClient </t>
    </r>
    <r>
      <rPr>
        <sz val="11"/>
        <color theme="1"/>
        <rFont val="Noto Sans CJK SC"/>
        <family val="2"/>
      </rPr>
      <t xml:space="preserve">공통 구현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가맹점</t>
    </r>
    <r>
      <rPr>
        <sz val="11"/>
        <color theme="1"/>
        <rFont val="Noto Sans"/>
        <family val="0"/>
        <charset val="1"/>
      </rPr>
      <t xml:space="preserve">(MID)·</t>
    </r>
    <r>
      <rPr>
        <sz val="11"/>
        <color theme="1"/>
        <rFont val="Noto Sans CJK SC"/>
        <family val="2"/>
      </rPr>
      <t xml:space="preserve">정산주기 분리 여부만 결정</t>
    </r>
  </si>
  <si>
    <t xml:space="preserve">payment_transactions</t>
  </si>
  <si>
    <r>
      <rPr>
        <sz val="11"/>
        <color theme="1"/>
        <rFont val="Noto Sans"/>
        <family val="0"/>
        <charset val="1"/>
      </rPr>
      <t xml:space="preserve">F-4.5 </t>
    </r>
    <r>
      <rPr>
        <sz val="11"/>
        <color theme="1"/>
        <rFont val="Noto Sans CJK SC"/>
        <family val="2"/>
      </rPr>
      <t xml:space="preserve">급식</t>
    </r>
    <r>
      <rPr>
        <sz val="11"/>
        <color theme="1"/>
        <rFont val="Noto Sans"/>
        <family val="0"/>
        <charset val="1"/>
      </rPr>
      <t xml:space="preserve">, F-4.10-5 </t>
    </r>
    <r>
      <rPr>
        <sz val="11"/>
        <color theme="1"/>
        <rFont val="Noto Sans CJK SC"/>
        <family val="2"/>
      </rPr>
      <t xml:space="preserve">청구기준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</si>
  <si>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수납현황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통합 매출장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기간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청구기준 검색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매출목록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엑셀다운로드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</si>
  <si>
    <t xml:space="preserve">F-4.8-2</t>
  </si>
  <si>
    <r>
      <rPr>
        <sz val="11"/>
        <color theme="1"/>
        <rFont val="Noto Sans CJK SC"/>
        <family val="2"/>
      </rPr>
      <t xml:space="preserve">환불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학원비 일할계산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</si>
  <si>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학원법 반환기준에 따른 환불 산출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승인</t>
    </r>
    <r>
      <rPr>
        <sz val="11"/>
        <color theme="1"/>
        <rFont val="Noto Sans"/>
        <family val="0"/>
        <charset val="1"/>
      </rPr>
      <t xml:space="preserve">·PG </t>
    </r>
    <r>
      <rPr>
        <sz val="11"/>
        <color theme="1"/>
        <rFont val="Noto Sans CJK SC"/>
        <family val="2"/>
      </rPr>
      <t xml:space="preserve">취소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수납 차감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잔여일수 기준 일할계산 결과와 담당자 수기 조정값 병기</t>
    </r>
  </si>
  <si>
    <r>
      <rPr>
        <sz val="11"/>
        <color theme="1"/>
        <rFont val="Noto Sans"/>
        <family val="0"/>
        <charset val="1"/>
      </rPr>
      <t xml:space="preserve">RefundService — </t>
    </r>
    <r>
      <rPr>
        <sz val="11"/>
        <color theme="1"/>
        <rFont val="Noto Sans CJK SC"/>
        <family val="2"/>
      </rPr>
      <t xml:space="preserve">반환기준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교습기간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경과일수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기납부액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입력 → 산출액 계산 → 승인 → </t>
    </r>
    <r>
      <rPr>
        <sz val="11"/>
        <color theme="1"/>
        <rFont val="Noto Sans"/>
        <family val="0"/>
        <charset val="1"/>
      </rPr>
      <t xml:space="preserve">PgClient.requestRefund → payment_transactions </t>
    </r>
    <r>
      <rPr>
        <sz val="11"/>
        <color theme="1"/>
        <rFont val="Noto Sans CJK SC"/>
        <family val="2"/>
      </rPr>
      <t xml:space="preserve">차감 반영</t>
    </r>
    <r>
      <rPr>
        <sz val="11"/>
        <color theme="1"/>
        <rFont val="Noto Sans"/>
        <family val="0"/>
        <charset val="1"/>
      </rPr>
      <t xml:space="preserve">. PG </t>
    </r>
    <r>
      <rPr>
        <sz val="11"/>
        <color theme="1"/>
        <rFont val="Noto Sans CJK SC"/>
        <family val="2"/>
      </rPr>
      <t xml:space="preserve">취소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단순 호출로 대체 금지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산식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수기 개입 범위는 </t>
    </r>
    <r>
      <rPr>
        <sz val="11"/>
        <color theme="1"/>
        <rFont val="Noto Sans"/>
        <family val="0"/>
        <charset val="1"/>
      </rPr>
      <t xml:space="preserve">I-26 </t>
    </r>
    <r>
      <rPr>
        <sz val="11"/>
        <color theme="1"/>
        <rFont val="Noto Sans CJK SC"/>
        <family val="2"/>
      </rPr>
      <t xml:space="preserve">확정 필요</t>
    </r>
  </si>
  <si>
    <r>
      <rPr>
        <sz val="11"/>
        <color theme="1"/>
        <rFont val="Noto Sans"/>
        <family val="0"/>
        <charset val="1"/>
      </rPr>
      <t xml:space="preserve">payment_transactions, refund_requests(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</si>
  <si>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F-4.8-1 </t>
    </r>
    <r>
      <rPr>
        <sz val="11"/>
        <color theme="1"/>
        <rFont val="Noto Sans CJK SC"/>
        <family val="2"/>
      </rPr>
      <t xml:space="preserve">수납현황</t>
    </r>
    <r>
      <rPr>
        <sz val="11"/>
        <color theme="1"/>
        <rFont val="Noto Sans"/>
        <family val="0"/>
        <charset val="1"/>
      </rPr>
      <t xml:space="preserve">, F-4.10-5 </t>
    </r>
    <r>
      <rPr>
        <sz val="11"/>
        <color theme="1"/>
        <rFont val="Noto Sans CJK SC"/>
        <family val="2"/>
      </rPr>
      <t xml:space="preserve">청구기준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</si>
  <si>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관리자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수납관리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청구기준 관리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에 환불 기준 항목이 존재하나 계산 로직은 화면상 확인 불가 — 신규 설계</t>
    </r>
    <r>
      <rPr>
        <sz val="11"/>
        <color theme="1"/>
        <rFont val="Noto Sans"/>
        <family val="0"/>
        <charset val="1"/>
      </rPr>
      <t xml:space="preserve">(0803)</t>
    </r>
  </si>
  <si>
    <t xml:space="preserve">#47(I-26)</t>
  </si>
  <si>
    <t xml:space="preserve">F-4.8-3</t>
  </si>
  <si>
    <r>
      <rPr>
        <sz val="11"/>
        <color theme="1"/>
        <rFont val="Noto Sans CJK SC"/>
        <family val="2"/>
      </rPr>
      <t xml:space="preserve">현금영수증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교육비 납입증명서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</si>
  <si>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현금영수증 발행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의무발행 업종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및 연말정산용 교육비 납입증명서 발급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재발급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일괄출력</t>
    </r>
  </si>
  <si>
    <r>
      <rPr>
        <sz val="11"/>
        <color theme="1"/>
        <rFont val="Noto Sans CJK SC"/>
        <family val="2"/>
      </rPr>
      <t xml:space="preserve">결제 확정 시 현금영수증 발행 요청</t>
    </r>
    <r>
      <rPr>
        <sz val="11"/>
        <color theme="1"/>
        <rFont val="Noto Sans"/>
        <family val="0"/>
        <charset val="1"/>
      </rPr>
      <t xml:space="preserve">(PG </t>
    </r>
    <r>
      <rPr>
        <sz val="11"/>
        <color theme="1"/>
        <rFont val="Noto Sans CJK SC"/>
        <family val="2"/>
      </rPr>
      <t xml:space="preserve">대행 또는 국세청 연동 — 발급 채널 </t>
    </r>
    <r>
      <rPr>
        <sz val="11"/>
        <color theme="1"/>
        <rFont val="Noto Sans"/>
        <family val="0"/>
        <charset val="1"/>
      </rPr>
      <t xml:space="preserve">I-25 </t>
    </r>
    <r>
      <rPr>
        <sz val="11"/>
        <color theme="1"/>
        <rFont val="Noto Sans CJK SC"/>
        <family val="2"/>
      </rPr>
      <t xml:space="preserve">확정 필요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납입증명서는 연도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학생 단위 납부액 집계 → </t>
    </r>
    <r>
      <rPr>
        <sz val="11"/>
        <color theme="1"/>
        <rFont val="Noto Sans"/>
        <family val="0"/>
        <charset val="1"/>
      </rPr>
      <t xml:space="preserve">PDF </t>
    </r>
    <r>
      <rPr>
        <sz val="11"/>
        <color theme="1"/>
        <rFont val="Noto Sans CJK SC"/>
        <family val="2"/>
      </rPr>
      <t xml:space="preserve">생성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일괄 다운로드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환불 발생 시 취소 발행 연계</t>
    </r>
  </si>
  <si>
    <r>
      <rPr>
        <sz val="11"/>
        <color theme="1"/>
        <rFont val="Noto Sans"/>
        <family val="0"/>
        <charset val="1"/>
      </rPr>
      <t xml:space="preserve">payment_transactions, tax_receipts(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</si>
  <si>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F-4.8-1 </t>
    </r>
    <r>
      <rPr>
        <sz val="11"/>
        <color theme="1"/>
        <rFont val="Noto Sans CJK SC"/>
        <family val="2"/>
      </rPr>
      <t xml:space="preserve">수납현황</t>
    </r>
    <r>
      <rPr>
        <sz val="11"/>
        <color theme="1"/>
        <rFont val="Noto Sans"/>
        <family val="0"/>
        <charset val="1"/>
      </rPr>
      <t xml:space="preserve">, F-4.8-2 </t>
    </r>
    <r>
      <rPr>
        <sz val="11"/>
        <color theme="1"/>
        <rFont val="Noto Sans CJK SC"/>
        <family val="2"/>
      </rPr>
      <t xml:space="preserve">환불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</si>
  <si>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화면 없음</t>
    </r>
    <r>
      <rPr>
        <sz val="11"/>
        <color theme="1"/>
        <rFont val="Noto Sans"/>
        <family val="0"/>
        <charset val="1"/>
      </rPr>
      <t xml:space="preserve">. v1.0 </t>
    </r>
    <r>
      <rPr>
        <sz val="11"/>
        <color theme="1"/>
        <rFont val="Noto Sans CJK SC"/>
        <family val="2"/>
      </rPr>
      <t xml:space="preserve">요구사항정의서 누락분 — 이관 누락으로 판단되어 </t>
    </r>
    <r>
      <rPr>
        <sz val="11"/>
        <color theme="1"/>
        <rFont val="Noto Sans"/>
        <family val="0"/>
        <charset val="1"/>
      </rPr>
      <t xml:space="preserve">0803 </t>
    </r>
    <r>
      <rPr>
        <sz val="11"/>
        <color theme="1"/>
        <rFont val="Noto Sans CJK SC"/>
        <family val="2"/>
      </rPr>
      <t xml:space="preserve">신규 편입</t>
    </r>
  </si>
  <si>
    <t xml:space="preserve">#46(I-25)</t>
  </si>
  <si>
    <t xml:space="preserve">F-4.9</t>
  </si>
  <si>
    <r>
      <rPr>
        <sz val="11"/>
        <color theme="1"/>
        <rFont val="Noto Sans"/>
        <family val="0"/>
        <charset val="1"/>
      </rPr>
      <t xml:space="preserve">[4.9] </t>
    </r>
    <r>
      <rPr>
        <sz val="11"/>
        <color theme="1"/>
        <rFont val="Noto Sans CJK SC"/>
        <family val="2"/>
      </rPr>
      <t xml:space="preserve">교무업무</t>
    </r>
  </si>
  <si>
    <r>
      <rPr>
        <sz val="11"/>
        <color theme="1"/>
        <rFont val="Noto Sans CJK SC"/>
        <family val="2"/>
      </rPr>
      <t xml:space="preserve">명단 조회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출력</t>
    </r>
  </si>
  <si>
    <r>
      <rPr>
        <sz val="11"/>
        <color theme="1"/>
        <rFont val="Noto Sans CJK SC"/>
        <family val="2"/>
      </rPr>
      <t xml:space="preserve">수강생 대장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청구기수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반 필터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엑셀 다운로드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직반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장학생 명단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구분 항목 정리</t>
    </r>
  </si>
  <si>
    <r>
      <rPr>
        <sz val="11"/>
        <color theme="1"/>
        <rFont val="Noto Sans CJK SC"/>
        <family val="2"/>
      </rPr>
      <t xml:space="preserve">엑셀 </t>
    </r>
    <r>
      <rPr>
        <sz val="11"/>
        <color theme="1"/>
        <rFont val="Noto Sans"/>
        <family val="0"/>
        <charset val="1"/>
      </rPr>
      <t xml:space="preserve">Import/Export </t>
    </r>
    <r>
      <rPr>
        <sz val="11"/>
        <color theme="1"/>
        <rFont val="Noto Sans CJK SC"/>
        <family val="2"/>
      </rPr>
      <t xml:space="preserve">프레임워크 활용</t>
    </r>
    <r>
      <rPr>
        <sz val="11"/>
        <color theme="1"/>
        <rFont val="Noto Sans"/>
        <family val="0"/>
        <charset val="1"/>
      </rPr>
      <t xml:space="preserve">. '</t>
    </r>
    <r>
      <rPr>
        <sz val="11"/>
        <color theme="1"/>
        <rFont val="Noto Sans CJK SC"/>
        <family val="2"/>
      </rPr>
      <t xml:space="preserve">구분 항목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정의 확정</t>
    </r>
    <r>
      <rPr>
        <sz val="11"/>
        <color theme="1"/>
        <rFont val="Noto Sans"/>
        <family val="0"/>
        <charset val="1"/>
      </rPr>
      <t xml:space="preserve">(I-1) </t>
    </r>
    <r>
      <rPr>
        <sz val="11"/>
        <color theme="1"/>
        <rFont val="Noto Sans CJK SC"/>
        <family val="2"/>
      </rPr>
      <t xml:space="preserve">전 필드 설계 착수 금지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</si>
  <si>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교무업무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명단조회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출력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수강생대장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조건검색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테이블</t>
    </r>
    <r>
      <rPr>
        <sz val="11"/>
        <color theme="1"/>
        <rFont val="Noto Sans"/>
        <family val="0"/>
        <charset val="1"/>
      </rPr>
      <t xml:space="preserve">·Copy/Excel/Print UI </t>
    </r>
    <r>
      <rPr>
        <sz val="11"/>
        <color theme="1"/>
        <rFont val="Noto Sans CJK SC"/>
        <family val="2"/>
      </rPr>
      <t xml:space="preserve">확인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화면에 </t>
    </r>
    <r>
      <rPr>
        <sz val="11"/>
        <color theme="1"/>
        <rFont val="Noto Sans"/>
        <family val="0"/>
        <charset val="1"/>
      </rPr>
      <t xml:space="preserve">(!!) </t>
    </r>
    <r>
      <rPr>
        <sz val="11"/>
        <color theme="1"/>
        <rFont val="Noto Sans CJK SC"/>
        <family val="2"/>
      </rPr>
      <t xml:space="preserve">표기로 구분 항목 불명확</t>
    </r>
  </si>
  <si>
    <t xml:space="preserve">#21(I-1)</t>
  </si>
  <si>
    <t xml:space="preserve">F-4.10-1</t>
  </si>
  <si>
    <r>
      <rPr>
        <sz val="11"/>
        <color theme="1"/>
        <rFont val="Noto Sans"/>
        <family val="0"/>
        <charset val="1"/>
      </rPr>
      <t xml:space="preserve">[4.10] </t>
    </r>
    <r>
      <rPr>
        <sz val="11"/>
        <color theme="1"/>
        <rFont val="Noto Sans CJK SC"/>
        <family val="2"/>
      </rPr>
      <t xml:space="preserve">관리자 기능</t>
    </r>
  </si>
  <si>
    <r>
      <rPr>
        <sz val="11"/>
        <color theme="1"/>
        <rFont val="Noto Sans CJK SC"/>
        <family val="2"/>
      </rPr>
      <t xml:space="preserve">기초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학과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전형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강의실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사물함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장학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</si>
  <si>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기초 데이터 관리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전년도 복사</t>
    </r>
  </si>
  <si>
    <r>
      <rPr>
        <sz val="11"/>
        <color theme="1"/>
        <rFont val="Noto Sans"/>
        <family val="0"/>
        <charset val="1"/>
      </rPr>
      <t xml:space="preserve">YearlySnapshotService </t>
    </r>
    <r>
      <rPr>
        <sz val="11"/>
        <color theme="1"/>
        <rFont val="Noto Sans CJK SC"/>
        <family val="2"/>
      </rPr>
      <t xml:space="preserve">기반 전년도 복사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공통 컬럼 규칙 적용</t>
    </r>
  </si>
  <si>
    <t xml:space="preserve">departments, course_types, class_groups, curriculums</t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</si>
  <si>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기초관리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과정 관리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과정목록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등록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삭제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</si>
  <si>
    <t xml:space="preserve">F-4.10-2</t>
  </si>
  <si>
    <t xml:space="preserve">사용자 관리</t>
  </si>
  <si>
    <r>
      <rPr>
        <sz val="11"/>
        <color theme="1"/>
        <rFont val="Noto Sans CJK SC"/>
        <family val="2"/>
      </rPr>
      <t xml:space="preserve">직원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강사 계정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권한 관리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지점별 접근 제어</t>
    </r>
  </si>
  <si>
    <r>
      <rPr>
        <sz val="11"/>
        <color theme="1"/>
        <rFont val="Noto Sans"/>
        <family val="0"/>
        <charset val="1"/>
      </rPr>
      <t xml:space="preserve">RBAC 5</t>
    </r>
    <r>
      <rPr>
        <sz val="11"/>
        <color theme="1"/>
        <rFont val="Noto Sans CJK SC"/>
        <family val="2"/>
      </rPr>
      <t xml:space="preserve">단계 </t>
    </r>
    <r>
      <rPr>
        <sz val="11"/>
        <color theme="1"/>
        <rFont val="Noto Sans"/>
        <family val="0"/>
        <charset val="1"/>
      </rPr>
      <t xml:space="preserve">Role(SUPER_ADMIN/BRANCH_ADMIN/TEACHER/STAFF/READONLY). </t>
    </r>
    <r>
      <rPr>
        <sz val="11"/>
        <color theme="1"/>
        <rFont val="Noto Sans CJK SC"/>
        <family val="2"/>
      </rPr>
      <t xml:space="preserve">인증</t>
    </r>
    <r>
      <rPr>
        <sz val="11"/>
        <color theme="1"/>
        <rFont val="Noto Sans"/>
        <family val="0"/>
        <charset val="1"/>
      </rPr>
      <t xml:space="preserve">=</t>
    </r>
    <r>
      <rPr>
        <sz val="11"/>
        <color theme="1"/>
        <rFont val="Noto Sans CJK SC"/>
        <family val="2"/>
      </rPr>
      <t xml:space="preserve">자체 </t>
    </r>
    <r>
      <rPr>
        <sz val="11"/>
        <color theme="1"/>
        <rFont val="Noto Sans"/>
        <family val="0"/>
        <charset val="1"/>
      </rPr>
      <t xml:space="preserve">JWT + Redis(</t>
    </r>
    <r>
      <rPr>
        <sz val="11"/>
        <color theme="1"/>
        <rFont val="Noto Sans CJK SC"/>
        <family val="2"/>
      </rPr>
      <t xml:space="preserve">세션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토큰 저장</t>
    </r>
    <r>
      <rPr>
        <sz val="11"/>
        <color theme="1"/>
        <rFont val="Noto Sans"/>
        <family val="0"/>
        <charset val="1"/>
      </rPr>
      <t xml:space="preserve">), DB=AWS RDS PostgreSQL. </t>
    </r>
    <r>
      <rPr>
        <sz val="11"/>
        <color theme="1"/>
        <rFont val="Noto Sans CJK SC"/>
        <family val="2"/>
      </rPr>
      <t xml:space="preserve">상세 권한 매트릭스는 </t>
    </r>
    <r>
      <rPr>
        <sz val="11"/>
        <color theme="1"/>
        <rFont val="Noto Sans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시트 참조</t>
    </r>
  </si>
  <si>
    <t xml:space="preserve">users, roles, branch_configs</t>
  </si>
  <si>
    <r>
      <rPr>
        <sz val="11"/>
        <color theme="1"/>
        <rFont val="Noto Sans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시트 비기능 요구사항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</si>
  <si>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사용자 관리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사용자관리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지점선택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사용자목록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승인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탈퇴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삭제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  <r>
      <rPr>
        <sz val="11"/>
        <color theme="1"/>
        <rFont val="Noto Sans"/>
        <family val="0"/>
        <charset val="1"/>
      </rPr>
      <t xml:space="preserve">. RBAC </t>
    </r>
    <r>
      <rPr>
        <sz val="11"/>
        <color theme="1"/>
        <rFont val="Noto Sans CJK SC"/>
        <family val="2"/>
      </rPr>
      <t xml:space="preserve">세부모델은 전량 신규 설계</t>
    </r>
  </si>
  <si>
    <t xml:space="preserve">F-4.10-3</t>
  </si>
  <si>
    <r>
      <rPr>
        <sz val="11"/>
        <color theme="1"/>
        <rFont val="Noto Sans CJK SC"/>
        <family val="2"/>
      </rPr>
      <t xml:space="preserve">배정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사물함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독서실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좌석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</si>
  <si>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사물함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독서실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좌석 배정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일괄배정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해제</t>
    </r>
  </si>
  <si>
    <r>
      <rPr>
        <sz val="11"/>
        <color theme="1"/>
        <rFont val="Noto Sans CJK SC"/>
        <family val="2"/>
      </rPr>
      <t xml:space="preserve">기초관리 하위 구조 재사용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좌석 배정 결과는 </t>
    </r>
    <r>
      <rPr>
        <sz val="11"/>
        <color theme="1"/>
        <rFont val="Noto Sans"/>
        <family val="0"/>
        <charset val="1"/>
      </rPr>
      <t xml:space="preserve">F-4.3-2 </t>
    </r>
    <r>
      <rPr>
        <sz val="11"/>
        <color theme="1"/>
        <rFont val="Noto Sans CJK SC"/>
        <family val="2"/>
      </rPr>
      <t xml:space="preserve">좌석표의 기준 데이터</t>
    </r>
  </si>
  <si>
    <r>
      <rPr>
        <sz val="11"/>
        <color theme="1"/>
        <rFont val="Noto Sans"/>
        <family val="0"/>
        <charset val="1"/>
      </rPr>
      <t xml:space="preserve">seat_map(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), locker </t>
    </r>
    <r>
      <rPr>
        <sz val="11"/>
        <color theme="1"/>
        <rFont val="Noto Sans CJK SC"/>
        <family val="2"/>
      </rPr>
      <t xml:space="preserve">배정 테이블</t>
    </r>
  </si>
  <si>
    <r>
      <rPr>
        <sz val="11"/>
        <color theme="1"/>
        <rFont val="Noto Sans"/>
        <family val="0"/>
        <charset val="1"/>
      </rPr>
      <t xml:space="preserve">F-4.3-2 </t>
    </r>
    <r>
      <rPr>
        <sz val="11"/>
        <color theme="1"/>
        <rFont val="Noto Sans CJK SC"/>
        <family val="2"/>
      </rPr>
      <t xml:space="preserve">좌석 이탈 현황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</si>
  <si>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관리자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배정관리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사물함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독서실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좌석 일괄배정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해제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  <r>
      <rPr>
        <sz val="11"/>
        <color theme="1"/>
        <rFont val="Noto Sans"/>
        <family val="0"/>
        <charset val="1"/>
      </rPr>
      <t xml:space="preserve">. ▷[</t>
    </r>
    <r>
      <rPr>
        <sz val="11"/>
        <color theme="1"/>
        <rFont val="Noto Sans CJK SC"/>
        <family val="2"/>
      </rPr>
      <t xml:space="preserve">클라이언트 확인</t>
    </r>
    <r>
      <rPr>
        <sz val="11"/>
        <color theme="1"/>
        <rFont val="Noto Sans"/>
        <family val="0"/>
        <charset val="1"/>
      </rPr>
      <t xml:space="preserve">] </t>
    </r>
    <r>
      <rPr>
        <sz val="11"/>
        <color theme="1"/>
        <rFont val="Noto Sans CJK SC"/>
        <family val="2"/>
      </rPr>
      <t xml:space="preserve">기숙사 미보유 — 배정 대상 제외</t>
    </r>
  </si>
  <si>
    <t xml:space="preserve">#36(I-16)</t>
  </si>
  <si>
    <t xml:space="preserve">F-4.10-4</t>
  </si>
  <si>
    <r>
      <rPr>
        <sz val="11"/>
        <color theme="1"/>
        <rFont val="Noto Sans CJK SC"/>
        <family val="2"/>
      </rPr>
      <t xml:space="preserve">특강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특강 기초 설정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</si>
  <si>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특강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설명회 기초 설정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설명회 신청 항목 추가</t>
    </r>
  </si>
  <si>
    <r>
      <rPr>
        <sz val="11"/>
        <color theme="1"/>
        <rFont val="Noto Sans CJK SC"/>
        <family val="2"/>
      </rPr>
      <t xml:space="preserve">별도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명세 없음 — 기초관리 패턴 재사용</t>
    </r>
  </si>
  <si>
    <r>
      <rPr>
        <sz val="11"/>
        <color theme="1"/>
        <rFont val="Noto Sans"/>
        <family val="0"/>
        <charset val="1"/>
      </rPr>
      <t xml:space="preserve">F-4.7 </t>
    </r>
    <r>
      <rPr>
        <sz val="11"/>
        <color theme="1"/>
        <rFont val="Noto Sans CJK SC"/>
        <family val="2"/>
      </rPr>
      <t xml:space="preserve">특강 관리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</si>
  <si>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관리자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특강관리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특강 관리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상태별 필터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특강목록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등록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배정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삭제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</si>
  <si>
    <t xml:space="preserve">F-4.10-5</t>
  </si>
  <si>
    <r>
      <rPr>
        <sz val="11"/>
        <color theme="1"/>
        <rFont val="Noto Sans CJK SC"/>
        <family val="2"/>
      </rPr>
      <t xml:space="preserve">수납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청구기준 관리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</si>
  <si>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교습비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특강비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환불 기준 관리</t>
    </r>
    <r>
      <rPr>
        <sz val="11"/>
        <color theme="1"/>
        <rFont val="Noto Sans"/>
        <family val="0"/>
        <charset val="1"/>
      </rPr>
      <t xml:space="preserve">, 4.8 </t>
    </r>
    <r>
      <rPr>
        <sz val="11"/>
        <color theme="1"/>
        <rFont val="Noto Sans CJK SC"/>
        <family val="2"/>
      </rPr>
      <t xml:space="preserve">수납현황과 연계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</si>
  <si>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등록비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급식 모두 디랩 자체 명의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확정 →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연동 설정 단일화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환불 기준 데이터는 </t>
    </r>
    <r>
      <rPr>
        <sz val="11"/>
        <color theme="1"/>
        <rFont val="Noto Sans"/>
        <family val="0"/>
        <charset val="1"/>
      </rPr>
      <t xml:space="preserve">F-4.8-2 </t>
    </r>
    <r>
      <rPr>
        <sz val="11"/>
        <color theme="1"/>
        <rFont val="Noto Sans CJK SC"/>
        <family val="2"/>
      </rPr>
      <t xml:space="preserve">일할계산 로직의 입력값</t>
    </r>
  </si>
  <si>
    <t xml:space="preserve">F-4.8-1, F-4.8-2</t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</si>
  <si>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관리자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수납관리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청구기준 관리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상태필터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청구기준목록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가상계좌</t>
    </r>
    <r>
      <rPr>
        <sz val="11"/>
        <color theme="1"/>
        <rFont val="Noto Sans"/>
        <family val="0"/>
        <charset val="1"/>
      </rPr>
      <t xml:space="preserve">/PG·VAN)·</t>
    </r>
    <r>
      <rPr>
        <sz val="11"/>
        <color theme="1"/>
        <rFont val="Noto Sans CJK SC"/>
        <family val="2"/>
      </rPr>
      <t xml:space="preserve">수납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메시지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삭제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</si>
  <si>
    <t xml:space="preserve">F-4.10-6</t>
  </si>
  <si>
    <t xml:space="preserve">실적 관리</t>
  </si>
  <si>
    <r>
      <rPr>
        <sz val="11"/>
        <color theme="1"/>
        <rFont val="Noto Sans CJK SC"/>
        <family val="2"/>
      </rPr>
      <t xml:space="preserve">합격 실적 입력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현황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통계</t>
    </r>
  </si>
  <si>
    <r>
      <rPr>
        <sz val="11"/>
        <color theme="1"/>
        <rFont val="Noto Sans"/>
        <family val="0"/>
        <charset val="1"/>
      </rPr>
      <t xml:space="preserve">▷[0723] </t>
    </r>
    <r>
      <rPr>
        <sz val="11"/>
        <color theme="1"/>
        <rFont val="Noto Sans CJK SC"/>
        <family val="2"/>
      </rPr>
      <t xml:space="preserve">목표 계열 명칭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순서 표준화</t>
    </r>
    <r>
      <rPr>
        <sz val="11"/>
        <color theme="1"/>
        <rFont val="Noto Sans"/>
        <family val="0"/>
        <charset val="1"/>
      </rPr>
      <t xml:space="preserve">: ①</t>
    </r>
    <r>
      <rPr>
        <sz val="11"/>
        <color theme="1"/>
        <rFont val="Noto Sans CJK SC"/>
        <family val="2"/>
      </rPr>
      <t xml:space="preserve">메디컬 ②서울 최상위 ③서울 지거국 ④수도권 ⑤지방 </t>
    </r>
    <r>
      <rPr>
        <sz val="11"/>
        <color theme="1"/>
        <rFont val="Noto Sans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년제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마스터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실적 통계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Noto Sans"/>
        <family val="0"/>
        <charset val="1"/>
      </rPr>
      <t xml:space="preserve">F-4.11-11 </t>
    </r>
    <r>
      <rPr>
        <sz val="11"/>
        <color theme="1"/>
        <rFont val="Noto Sans CJK SC"/>
        <family val="2"/>
      </rPr>
      <t xml:space="preserve">대시보드와 연계</t>
    </r>
  </si>
  <si>
    <r>
      <rPr>
        <sz val="11"/>
        <color theme="1"/>
        <rFont val="Noto Sans"/>
        <family val="0"/>
        <charset val="1"/>
      </rPr>
      <t xml:space="preserve">F-4.11-11 </t>
    </r>
    <r>
      <rPr>
        <sz val="11"/>
        <color theme="1"/>
        <rFont val="Noto Sans CJK SC"/>
        <family val="2"/>
      </rPr>
      <t xml:space="preserve">통계 대시보드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</si>
  <si>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실적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실적 입력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부산기숙</t>
    </r>
    <r>
      <rPr>
        <sz val="11"/>
        <color theme="1"/>
        <rFont val="Noto Sans"/>
        <family val="0"/>
        <charset val="1"/>
      </rPr>
      <t xml:space="preserve">)' </t>
    </r>
    <r>
      <rPr>
        <sz val="11"/>
        <color theme="1"/>
        <rFont val="Noto Sans CJK SC"/>
        <family val="2"/>
      </rPr>
      <t xml:space="preserve">연도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시험선택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실적목록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수정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실적 통계 화면은 별도 확인 필요</t>
    </r>
  </si>
  <si>
    <t xml:space="preserve">#42(I-22)</t>
  </si>
  <si>
    <t xml:space="preserve">F-4.10-7</t>
  </si>
  <si>
    <r>
      <rPr>
        <sz val="11"/>
        <color theme="1"/>
        <rFont val="Noto Sans CJK SC"/>
        <family val="2"/>
      </rPr>
      <t xml:space="preserve">지점 설정 관리</t>
    </r>
    <r>
      <rPr>
        <sz val="11"/>
        <color theme="1"/>
        <rFont val="Noto Sans"/>
        <family val="0"/>
        <charset val="1"/>
      </rPr>
      <t xml:space="preserve">(branch_configs)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</si>
  <si>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지점별 연동 시크릿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키 관리 — 키오스크 서명 시크릿</t>
    </r>
    <r>
      <rPr>
        <sz val="11"/>
        <color theme="1"/>
        <rFont val="Noto Sans"/>
        <family val="0"/>
        <charset val="1"/>
      </rPr>
      <t xml:space="preserve">, PG </t>
    </r>
    <r>
      <rPr>
        <sz val="11"/>
        <color theme="1"/>
        <rFont val="Noto Sans CJK SC"/>
        <family val="2"/>
      </rPr>
      <t xml:space="preserve">가맹점코드</t>
    </r>
    <r>
      <rPr>
        <sz val="11"/>
        <color theme="1"/>
        <rFont val="Noto Sans"/>
        <family val="0"/>
        <charset val="1"/>
      </rPr>
      <t xml:space="preserve">(MID), Nebula </t>
    </r>
    <r>
      <rPr>
        <sz val="11"/>
        <color theme="1"/>
        <rFont val="Noto Sans CJK SC"/>
        <family val="2"/>
      </rPr>
      <t xml:space="preserve">장비 </t>
    </r>
    <r>
      <rPr>
        <sz val="11"/>
        <color theme="1"/>
        <rFont val="Noto Sans"/>
        <family val="0"/>
        <charset val="1"/>
      </rPr>
      <t xml:space="preserve">ID, </t>
    </r>
    <r>
      <rPr>
        <sz val="11"/>
        <color theme="1"/>
        <rFont val="Noto Sans CJK SC"/>
        <family val="2"/>
      </rPr>
      <t xml:space="preserve">지점별 정책 </t>
    </r>
    <r>
      <rPr>
        <sz val="11"/>
        <color theme="1"/>
        <rFont val="Noto Sans"/>
        <family val="0"/>
        <charset val="1"/>
      </rPr>
      <t xml:space="preserve">JSON</t>
    </r>
  </si>
  <si>
    <r>
      <rPr>
        <sz val="11"/>
        <color theme="1"/>
        <rFont val="Noto Sans"/>
        <family val="0"/>
        <charset val="1"/>
      </rPr>
      <t xml:space="preserve">branch_configs(branch_id, kiosk_secret, pg_merchant_code, nebula_device_id, config_json). SUPER_ADMIN </t>
    </r>
    <r>
      <rPr>
        <sz val="11"/>
        <color theme="1"/>
        <rFont val="Noto Sans CJK SC"/>
        <family val="2"/>
      </rPr>
      <t xml:space="preserve">전용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시크릿은 마스킹 표시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재발급 이력 감사로그 필수</t>
    </r>
  </si>
  <si>
    <t xml:space="preserve">branch_configs</t>
  </si>
  <si>
    <r>
      <rPr>
        <sz val="11"/>
        <color theme="1"/>
        <rFont val="Noto Sans"/>
        <family val="0"/>
        <charset val="1"/>
      </rPr>
      <t xml:space="preserve">F-4.3-1 </t>
    </r>
    <r>
      <rPr>
        <sz val="11"/>
        <color theme="1"/>
        <rFont val="Noto Sans CJK SC"/>
        <family val="2"/>
      </rPr>
      <t xml:space="preserve">출결</t>
    </r>
    <r>
      <rPr>
        <sz val="11"/>
        <color theme="1"/>
        <rFont val="Noto Sans"/>
        <family val="0"/>
        <charset val="1"/>
      </rPr>
      <t xml:space="preserve">(Webhook), F-4.5 </t>
    </r>
    <r>
      <rPr>
        <sz val="11"/>
        <color theme="1"/>
        <rFont val="Noto Sans CJK SC"/>
        <family val="2"/>
      </rPr>
      <t xml:space="preserve">급식</t>
    </r>
    <r>
      <rPr>
        <sz val="11"/>
        <color theme="1"/>
        <rFont val="Noto Sans"/>
        <family val="0"/>
        <charset val="1"/>
      </rPr>
      <t xml:space="preserve">(PG), F-4.11-10 </t>
    </r>
    <r>
      <rPr>
        <sz val="11"/>
        <color theme="1"/>
        <rFont val="Noto Sans CJK SC"/>
        <family val="2"/>
      </rPr>
      <t xml:space="preserve">방화벽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</si>
  <si>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화면 없음 — 다지점 운영 전제로 신규 정의</t>
    </r>
    <r>
      <rPr>
        <sz val="11"/>
        <color theme="1"/>
        <rFont val="Noto Sans"/>
        <family val="0"/>
        <charset val="1"/>
      </rPr>
      <t xml:space="preserve">(0803)</t>
    </r>
  </si>
  <si>
    <t xml:space="preserve">#2(D-2), #15(E-1)</t>
  </si>
  <si>
    <t xml:space="preserve">F-4.11-1</t>
  </si>
  <si>
    <r>
      <rPr>
        <sz val="11"/>
        <color theme="1"/>
        <rFont val="Noto Sans"/>
        <family val="0"/>
        <charset val="1"/>
      </rPr>
      <t xml:space="preserve">[4.11] </t>
    </r>
    <r>
      <rPr>
        <sz val="11"/>
        <color theme="1"/>
        <rFont val="Noto Sans CJK SC"/>
        <family val="2"/>
      </rPr>
      <t xml:space="preserve">신규 확장</t>
    </r>
  </si>
  <si>
    <t xml:space="preserve">데일리 루틴 관리</t>
  </si>
  <si>
    <r>
      <rPr>
        <sz val="11"/>
        <color theme="1"/>
        <rFont val="Noto Sans CJK SC"/>
        <family val="2"/>
      </rPr>
      <t xml:space="preserve">월별 루틴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테스트 세팅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과목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배점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권장 여부</t>
    </r>
    <r>
      <rPr>
        <sz val="11"/>
        <color theme="1"/>
        <rFont val="Noto Sans"/>
        <family val="0"/>
        <charset val="1"/>
      </rPr>
      <t xml:space="preserve">)+</t>
    </r>
    <r>
      <rPr>
        <sz val="11"/>
        <color theme="1"/>
        <rFont val="Noto Sans CJK SC"/>
        <family val="2"/>
      </rPr>
      <t xml:space="preserve">전월 복사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반 단위 결과 일괄 입력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완료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미완료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점수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상벌점 규칙 매핑 연동</t>
    </r>
  </si>
  <si>
    <r>
      <rPr>
        <sz val="11"/>
        <color theme="1"/>
        <rFont val="Noto Sans"/>
        <family val="0"/>
        <charset val="1"/>
      </rPr>
      <t xml:space="preserve">GET/POST /api/v1/routines, copy-from-month, .../{id}/results — </t>
    </r>
    <r>
      <rPr>
        <sz val="11"/>
        <color theme="1"/>
        <rFont val="Noto Sans CJK SC"/>
        <family val="2"/>
      </rPr>
      <t xml:space="preserve">결과 입력 시 </t>
    </r>
    <r>
      <rPr>
        <sz val="11"/>
        <color theme="1"/>
        <rFont val="Noto Sans"/>
        <family val="0"/>
        <charset val="1"/>
      </rPr>
      <t xml:space="preserve">PenaltyRuleEngine.apply() </t>
    </r>
    <r>
      <rPr>
        <sz val="11"/>
        <color theme="1"/>
        <rFont val="Noto Sans CJK SC"/>
        <family val="2"/>
      </rPr>
      <t xml:space="preserve">자동 연동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오프라인 시험지 기반 교사 검수 구조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현장 배부→학생 가채점→교사 검수→웹 입력→앱 노출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Noto Sans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예정→배부→제출→검수완료→앱노출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미제출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결시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반 단위 그리드 일괄 입력 필수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개별 폼 금지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가채점 점수와 교사 검수 점수 분리 보관</t>
    </r>
  </si>
  <si>
    <t xml:space="preserve">daily_routines, daily_routine_results</t>
  </si>
  <si>
    <r>
      <rPr>
        <sz val="11"/>
        <color theme="1"/>
        <rFont val="Noto Sans"/>
        <family val="0"/>
        <charset val="1"/>
      </rPr>
      <t xml:space="preserve">F-4.11-6 Daily Report,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A-11</t>
    </r>
  </si>
  <si>
    <t xml:space="preserve">F-4.11-2</t>
  </si>
  <si>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일 학습 계획 관리</t>
    </r>
  </si>
  <si>
    <r>
      <rPr>
        <sz val="11"/>
        <color theme="1"/>
        <rFont val="Noto Sans CJK SC"/>
        <family val="2"/>
      </rPr>
      <t xml:space="preserve">주간 학습계획 비교그래프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계획 대비 실제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과목</t>
    </r>
    <r>
      <rPr>
        <sz val="11"/>
        <color theme="1"/>
        <rFont val="Noto Sans"/>
        <family val="0"/>
        <charset val="1"/>
      </rPr>
      <t xml:space="preserve">×</t>
    </r>
    <r>
      <rPr>
        <sz val="11"/>
        <color theme="1"/>
        <rFont val="Noto Sans CJK SC"/>
        <family val="2"/>
      </rPr>
      <t xml:space="preserve">유형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교시</t>
    </r>
    <r>
      <rPr>
        <sz val="11"/>
        <color theme="1"/>
        <rFont val="Noto Sans"/>
        <family val="0"/>
        <charset val="1"/>
      </rPr>
      <t xml:space="preserve">×</t>
    </r>
    <r>
      <rPr>
        <sz val="11"/>
        <color theme="1"/>
        <rFont val="Noto Sans CJK SC"/>
        <family val="2"/>
      </rPr>
      <t xml:space="preserve">요일 그리드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관리자 편집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과목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형태별 시간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비율 파이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주차별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</si>
  <si>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GET learning-plans(</t>
    </r>
    <r>
      <rPr>
        <sz val="11"/>
        <color theme="1"/>
        <rFont val="Noto Sans CJK SC"/>
        <family val="2"/>
      </rPr>
      <t xml:space="preserve">그리드</t>
    </r>
    <r>
      <rPr>
        <sz val="11"/>
        <color theme="1"/>
        <rFont val="Noto Sans"/>
        <family val="0"/>
        <charset val="1"/>
      </rPr>
      <t xml:space="preserve">), PATCH items(</t>
    </r>
    <r>
      <rPr>
        <sz val="11"/>
        <color theme="1"/>
        <rFont val="Noto Sans CJK SC"/>
        <family val="2"/>
      </rPr>
      <t xml:space="preserve">파란색</t>
    </r>
    <r>
      <rPr>
        <sz val="11"/>
        <color theme="1"/>
        <rFont val="Noto Sans"/>
        <family val="0"/>
        <charset val="1"/>
      </rPr>
      <t xml:space="preserve">=</t>
    </r>
    <r>
      <rPr>
        <sz val="11"/>
        <color theme="1"/>
        <rFont val="Noto Sans CJK SC"/>
        <family val="2"/>
      </rPr>
      <t xml:space="preserve">교사편집만</t>
    </r>
    <r>
      <rPr>
        <sz val="11"/>
        <color theme="1"/>
        <rFont val="Noto Sans"/>
        <family val="0"/>
        <charset val="1"/>
      </rPr>
      <t xml:space="preserve">), GET compare, GET composition(</t>
    </r>
    <r>
      <rPr>
        <sz val="11"/>
        <color theme="1"/>
        <rFont val="Noto Sans CJK SC"/>
        <family val="2"/>
      </rPr>
      <t xml:space="preserve">파이</t>
    </r>
    <r>
      <rPr>
        <sz val="11"/>
        <color theme="1"/>
        <rFont val="Noto Sans"/>
        <family val="0"/>
        <charset val="1"/>
      </rPr>
      <t xml:space="preserve">), learning-plan-options(</t>
    </r>
    <r>
      <rPr>
        <sz val="11"/>
        <color theme="1"/>
        <rFont val="Noto Sans CJK SC"/>
        <family val="2"/>
      </rPr>
      <t xml:space="preserve">드롭다운 마스터</t>
    </r>
    <r>
      <rPr>
        <sz val="11"/>
        <color theme="1"/>
        <rFont val="Noto Sans"/>
        <family val="0"/>
        <charset val="1"/>
      </rPr>
      <t xml:space="preserve">)
▷[0803] </t>
    </r>
    <r>
      <rPr>
        <sz val="11"/>
        <color theme="1"/>
        <rFont val="Noto Sans CJK SC"/>
        <family val="2"/>
      </rPr>
      <t xml:space="preserve">교시 마스터 별도 화면 신설하지 않음 — 본 학습계획 관리 화면 내에서 관리자가 교시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시간을 </t>
    </r>
    <r>
      <rPr>
        <sz val="11"/>
        <color theme="1"/>
        <rFont val="Noto Sans"/>
        <family val="0"/>
        <charset val="1"/>
      </rPr>
      <t xml:space="preserve">20</t>
    </r>
    <r>
      <rPr>
        <sz val="11"/>
        <color theme="1"/>
        <rFont val="Noto Sans CJK SC"/>
        <family val="2"/>
      </rPr>
      <t xml:space="preserve">분 단위 또는 </t>
    </r>
    <r>
      <rPr>
        <sz val="11"/>
        <color theme="1"/>
        <rFont val="Noto Sans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 단위로 직접 편집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단위 선택 토글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교시 변경 시 기존 계획 처리 방침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시점 스냅샷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소급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확정 필요
▷</t>
    </r>
    <r>
      <rPr>
        <sz val="11"/>
        <color theme="1"/>
        <rFont val="Noto Sans"/>
        <family val="0"/>
        <charset val="1"/>
      </rPr>
      <t xml:space="preserve">[0723] ①</t>
    </r>
    <r>
      <rPr>
        <sz val="11"/>
        <color theme="1"/>
        <rFont val="Noto Sans CJK SC"/>
        <family val="2"/>
      </rPr>
      <t xml:space="preserve">점심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저녁 시간대 학습입력 허용 ②지난주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주간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이전일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일간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계획 복사 ③스크롤 시 요일 헤더 고정 ④비율 게이지 가로형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편집 ⑤과목별 누계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비율 ⑥탐구</t>
    </r>
    <r>
      <rPr>
        <sz val="11"/>
        <color theme="1"/>
        <rFont val="Noto Sans"/>
        <family val="0"/>
        <charset val="1"/>
      </rPr>
      <t xml:space="preserve">1/</t>
    </r>
    <r>
      <rPr>
        <sz val="11"/>
        <color theme="1"/>
        <rFont val="Noto Sans CJK SC"/>
        <family val="2"/>
      </rPr>
      <t xml:space="preserve">탐구</t>
    </r>
    <r>
      <rPr>
        <sz val="11"/>
        <color theme="1"/>
        <rFont val="Noto Sans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분리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과목 커스터마이즈 ⑦주중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주말</t>
    </r>
    <r>
      <rPr>
        <sz val="11"/>
        <color theme="1"/>
        <rFont val="Noto Sans"/>
        <family val="0"/>
        <charset val="1"/>
      </rPr>
      <t xml:space="preserve">×</t>
    </r>
    <r>
      <rPr>
        <sz val="11"/>
        <color theme="1"/>
        <rFont val="Noto Sans CJK SC"/>
        <family val="2"/>
      </rPr>
      <t xml:space="preserve">모의고사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학습 모드 ⑧이행 표시 방식</t>
    </r>
    <r>
      <rPr>
        <sz val="11"/>
        <color theme="1"/>
        <rFont val="Noto Sans"/>
        <family val="0"/>
        <charset val="1"/>
      </rPr>
      <t xml:space="preserve">(#39 I-19) ⑨</t>
    </r>
    <r>
      <rPr>
        <sz val="11"/>
        <color theme="1"/>
        <rFont val="Noto Sans CJK SC"/>
        <family val="2"/>
      </rPr>
      <t xml:space="preserve">연간행사 마스터 반영</t>
    </r>
  </si>
  <si>
    <t xml:space="preserve">learning_plans, learning_plan_items, learning_plan_options</t>
  </si>
  <si>
    <r>
      <rPr>
        <sz val="11"/>
        <color theme="1"/>
        <rFont val="Noto Sans"/>
        <family val="0"/>
        <charset val="1"/>
      </rPr>
      <t xml:space="preserve">F-4.11-9 </t>
    </r>
    <r>
      <rPr>
        <sz val="11"/>
        <color theme="1"/>
        <rFont val="Noto Sans CJK SC"/>
        <family val="2"/>
      </rPr>
      <t xml:space="preserve">연간행사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A-12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</si>
  <si>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화면 없음 — 완전 신규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이 </t>
    </r>
    <r>
      <rPr>
        <sz val="11"/>
        <color theme="1"/>
        <rFont val="Noto Sans"/>
        <family val="0"/>
        <charset val="1"/>
      </rPr>
      <t xml:space="preserve">Phase </t>
    </r>
    <r>
      <rPr>
        <sz val="11"/>
        <color theme="1"/>
        <rFont val="Noto Sans CJK SC"/>
        <family val="2"/>
      </rPr>
      <t xml:space="preserve">최대 공수 단일 화면</t>
    </r>
  </si>
  <si>
    <t xml:space="preserve">#27(I-7), #39(I-19), #41(I-21), #43(I-23)</t>
  </si>
  <si>
    <t xml:space="preserve">F-4.11-3</t>
  </si>
  <si>
    <r>
      <rPr>
        <sz val="11"/>
        <color theme="1"/>
        <rFont val="Noto Sans CJK SC"/>
        <family val="2"/>
      </rPr>
      <t xml:space="preserve">메시지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공지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행정요청</t>
    </r>
    <r>
      <rPr>
        <sz val="11"/>
        <color theme="1"/>
        <rFont val="Noto Sans"/>
        <family val="0"/>
        <charset val="1"/>
      </rPr>
      <t xml:space="preserve">·1:1</t>
    </r>
    <r>
      <rPr>
        <sz val="11"/>
        <color theme="1"/>
        <rFont val="Noto Sans CJK SC"/>
        <family val="2"/>
      </rPr>
      <t xml:space="preserve">채팅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</si>
  <si>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발송 범위별 권한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전체</t>
    </r>
    <r>
      <rPr>
        <sz val="11"/>
        <color theme="1"/>
        <rFont val="Noto Sans"/>
        <family val="0"/>
        <charset val="1"/>
      </rPr>
      <t xml:space="preserve">=</t>
    </r>
    <r>
      <rPr>
        <sz val="11"/>
        <color theme="1"/>
        <rFont val="Noto Sans CJK SC"/>
        <family val="2"/>
      </rPr>
      <t xml:space="preserve">본사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지점</t>
    </r>
    <r>
      <rPr>
        <sz val="11"/>
        <color theme="1"/>
        <rFont val="Noto Sans"/>
        <family val="0"/>
        <charset val="1"/>
      </rPr>
      <t xml:space="preserve">=</t>
    </r>
    <r>
      <rPr>
        <sz val="11"/>
        <color theme="1"/>
        <rFont val="Noto Sans CJK SC"/>
        <family val="2"/>
      </rPr>
      <t xml:space="preserve">지점관리자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반</t>
    </r>
    <r>
      <rPr>
        <sz val="11"/>
        <color theme="1"/>
        <rFont val="Noto Sans"/>
        <family val="0"/>
        <charset val="1"/>
      </rPr>
      <t xml:space="preserve">=</t>
    </r>
    <r>
      <rPr>
        <sz val="11"/>
        <color theme="1"/>
        <rFont val="Noto Sans CJK SC"/>
        <family val="2"/>
      </rPr>
      <t xml:space="preserve">담임</t>
    </r>
    <r>
      <rPr>
        <sz val="11"/>
        <color theme="1"/>
        <rFont val="Noto Sans"/>
        <family val="0"/>
        <charset val="1"/>
      </rPr>
      <t xml:space="preserve">), 1:1 </t>
    </r>
    <r>
      <rPr>
        <sz val="11"/>
        <color theme="1"/>
        <rFont val="Noto Sans CJK SC"/>
        <family val="2"/>
      </rPr>
      <t xml:space="preserve">채팅 외부 메신저 </t>
    </r>
    <r>
      <rPr>
        <sz val="11"/>
        <color theme="1"/>
        <rFont val="Noto Sans"/>
        <family val="0"/>
        <charset val="1"/>
      </rPr>
      <t xml:space="preserve">React </t>
    </r>
    <r>
      <rPr>
        <sz val="11"/>
        <color theme="1"/>
        <rFont val="Noto Sans CJK SC"/>
        <family val="2"/>
      </rPr>
      <t xml:space="preserve">연동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행정 요청 수신함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가족 채팅방 폐기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학부모 최대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인 확정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</si>
  <si>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POST /api/v1/notices(scope</t>
    </r>
    <r>
      <rPr>
        <sz val="11"/>
        <color theme="1"/>
        <rFont val="Noto Sans CJK SC"/>
        <family val="2"/>
      </rPr>
      <t xml:space="preserve">별</t>
    </r>
    <r>
      <rPr>
        <sz val="11"/>
        <color theme="1"/>
        <rFont val="Noto Sans"/>
        <family val="0"/>
        <charset val="1"/>
      </rPr>
      <t xml:space="preserve">), GET admin-requests, POST chat/threads(type=DIRECT_1TO1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Noto Sans"/>
        <family val="0"/>
        <charset val="1"/>
      </rPr>
      <t xml:space="preserve">) — </t>
    </r>
    <r>
      <rPr>
        <sz val="11"/>
        <color theme="1"/>
        <rFont val="Noto Sans CJK SC"/>
        <family val="2"/>
      </rPr>
      <t xml:space="preserve">본문은 외부 벤더 저장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메타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참조</t>
    </r>
    <r>
      <rPr>
        <sz val="11"/>
        <color theme="1"/>
        <rFont val="Noto Sans"/>
        <family val="0"/>
        <charset val="1"/>
      </rPr>
      <t xml:space="preserve">ID</t>
    </r>
    <r>
      <rPr>
        <sz val="11"/>
        <color theme="1"/>
        <rFont val="Noto Sans CJK SC"/>
        <family val="2"/>
      </rPr>
      <t xml:space="preserve">만 자체 </t>
    </r>
    <r>
      <rPr>
        <sz val="11"/>
        <color theme="1"/>
        <rFont val="Noto Sans"/>
        <family val="0"/>
        <charset val="1"/>
      </rPr>
      <t xml:space="preserve">DB</t>
    </r>
  </si>
  <si>
    <t xml:space="preserve">notices, admin_requests, chat_threads</t>
  </si>
  <si>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A-16</t>
    </r>
  </si>
  <si>
    <r>
      <rPr>
        <sz val="11"/>
        <color theme="1"/>
        <rFont val="Noto Sans"/>
        <family val="0"/>
        <charset val="1"/>
      </rPr>
      <t xml:space="preserve">DSA F-4.4</t>
    </r>
    <r>
      <rPr>
        <sz val="11"/>
        <color theme="1"/>
        <rFont val="Noto Sans CJK SC"/>
        <family val="2"/>
      </rPr>
      <t xml:space="preserve">와 발송권한 개념은 유사하나 </t>
    </r>
    <r>
      <rPr>
        <sz val="11"/>
        <color theme="1"/>
        <rFont val="Noto Sans"/>
        <family val="0"/>
        <charset val="1"/>
      </rPr>
      <t xml:space="preserve">1:1</t>
    </r>
    <r>
      <rPr>
        <sz val="11"/>
        <color theme="1"/>
        <rFont val="Noto Sans CJK SC"/>
        <family val="2"/>
      </rPr>
      <t xml:space="preserve">채팅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행정요청 수신함은 완전 신규</t>
    </r>
  </si>
  <si>
    <t xml:space="preserve">#20(E-6), #23(I-3)</t>
  </si>
  <si>
    <t xml:space="preserve">F-4.11-4</t>
  </si>
  <si>
    <r>
      <rPr>
        <sz val="11"/>
        <color theme="1"/>
        <rFont val="Noto Sans CJK SC"/>
        <family val="2"/>
      </rPr>
      <t xml:space="preserve">상담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일지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리포트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</si>
  <si>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담임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최근상담일 헤더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과목별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국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영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탐구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학습계획 이행률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별점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상담 항목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태그 선택형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담임 스티커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코멘트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성적 상세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학습계획 비교 결합 노출</t>
    </r>
  </si>
  <si>
    <r>
      <rPr>
        <sz val="11"/>
        <color theme="1"/>
        <rFont val="Noto Sans"/>
        <family val="0"/>
        <charset val="1"/>
      </rPr>
      <t xml:space="preserve">GET/POST consult-logs, POST consult-reports, consult-tags(</t>
    </r>
    <r>
      <rPr>
        <sz val="11"/>
        <color theme="1"/>
        <rFont val="Noto Sans CJK SC"/>
        <family val="2"/>
      </rPr>
      <t xml:space="preserve">마스터</t>
    </r>
    <r>
      <rPr>
        <sz val="11"/>
        <color theme="1"/>
        <rFont val="Noto Sans"/>
        <family val="0"/>
        <charset val="1"/>
      </rPr>
      <t xml:space="preserve">, max_display)
▷[0723] </t>
    </r>
    <r>
      <rPr>
        <sz val="11"/>
        <color theme="1"/>
        <rFont val="Noto Sans CJK SC"/>
        <family val="2"/>
      </rPr>
      <t xml:space="preserve">담임별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반별 필터 상담현황 조회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필요항목</t>
    </r>
    <r>
      <rPr>
        <sz val="11"/>
        <color theme="1"/>
        <rFont val="Noto Sans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이름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학번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좌석번호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입학일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신상기록부 작성여부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초도상담현황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미상담 시 빨간 경고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상담일자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상담유형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담임별 학생명단 조회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출력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이행률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별점</t>
    </r>
    <r>
      <rPr>
        <sz val="11"/>
        <color theme="1"/>
        <rFont val="Noto Sans"/>
        <family val="0"/>
        <charset val="1"/>
      </rPr>
      <t xml:space="preserve">) vs %·○△✗ </t>
    </r>
    <r>
      <rPr>
        <sz val="11"/>
        <color theme="1"/>
        <rFont val="Noto Sans CJK SC"/>
        <family val="2"/>
      </rPr>
      <t xml:space="preserve">표기 정합 필요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신상기록부 열람</t>
    </r>
    <r>
      <rPr>
        <sz val="11"/>
        <color theme="1"/>
        <rFont val="Noto Sans"/>
        <family val="0"/>
        <charset val="1"/>
      </rPr>
      <t xml:space="preserve">·PDF </t>
    </r>
    <r>
      <rPr>
        <sz val="11"/>
        <color theme="1"/>
        <rFont val="Noto Sans CJK SC"/>
        <family val="2"/>
      </rPr>
      <t xml:space="preserve">연계
▷</t>
    </r>
    <r>
      <rPr>
        <sz val="11"/>
        <color theme="1"/>
        <rFont val="Noto Sans"/>
        <family val="0"/>
        <charset val="1"/>
      </rPr>
      <t xml:space="preserve">[0803] Weekly ABC test </t>
    </r>
    <r>
      <rPr>
        <sz val="11"/>
        <color theme="1"/>
        <rFont val="Noto Sans CJK SC"/>
        <family val="2"/>
      </rPr>
      <t xml:space="preserve">원천 </t>
    </r>
    <r>
      <rPr>
        <sz val="11"/>
        <color theme="1"/>
        <rFont val="Noto Sans"/>
        <family val="0"/>
        <charset val="1"/>
      </rPr>
      <t xml:space="preserve">= F-4.11-1 </t>
    </r>
    <r>
      <rPr>
        <sz val="11"/>
        <color theme="1"/>
        <rFont val="Noto Sans CJK SC"/>
        <family val="2"/>
      </rPr>
      <t xml:space="preserve">데일리루틴 검수확정 결과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영단어시험 폐기로 변경</t>
    </r>
    <r>
      <rPr>
        <sz val="11"/>
        <color theme="1"/>
        <rFont val="Noto Sans"/>
        <family val="0"/>
        <charset val="1"/>
      </rPr>
      <t xml:space="preserve">)</t>
    </r>
  </si>
  <si>
    <t xml:space="preserve">consult_tags, consult_report_subjects, consult_logs</t>
  </si>
  <si>
    <r>
      <rPr>
        <sz val="11"/>
        <color theme="1"/>
        <rFont val="Noto Sans"/>
        <family val="0"/>
        <charset val="1"/>
      </rPr>
      <t xml:space="preserve">F-4.6-1 </t>
    </r>
    <r>
      <rPr>
        <sz val="11"/>
        <color theme="1"/>
        <rFont val="Noto Sans CJK SC"/>
        <family val="2"/>
      </rPr>
      <t xml:space="preserve">성적</t>
    </r>
    <r>
      <rPr>
        <sz val="11"/>
        <color theme="1"/>
        <rFont val="Noto Sans"/>
        <family val="0"/>
        <charset val="1"/>
      </rPr>
      <t xml:space="preserve">, F-4.11-2 </t>
    </r>
    <r>
      <rPr>
        <sz val="11"/>
        <color theme="1"/>
        <rFont val="Noto Sans CJK SC"/>
        <family val="2"/>
      </rPr>
      <t xml:space="preserve">학습계획</t>
    </r>
    <r>
      <rPr>
        <sz val="11"/>
        <color theme="1"/>
        <rFont val="Noto Sans"/>
        <family val="0"/>
        <charset val="1"/>
      </rPr>
      <t xml:space="preserve">, F-4.11-8 </t>
    </r>
    <r>
      <rPr>
        <sz val="11"/>
        <color theme="1"/>
        <rFont val="Noto Sans CJK SC"/>
        <family val="2"/>
      </rPr>
      <t xml:space="preserve">신상기록부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</si>
  <si>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화면 없음 — 구글시트로 운영 중이던 것을 시스템화</t>
    </r>
  </si>
  <si>
    <t xml:space="preserve">#22(I-2), #39(I-19), #37(I-17)</t>
  </si>
  <si>
    <t xml:space="preserve">F-4.11-5</t>
  </si>
  <si>
    <t xml:space="preserve">승인 라우팅 관리</t>
  </si>
  <si>
    <r>
      <rPr>
        <sz val="11"/>
        <color theme="1"/>
        <rFont val="Noto Sans CJK SC"/>
        <family val="2"/>
      </rPr>
      <t xml:space="preserve">학생 신청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사유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정기일정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방화벽 등</t>
    </r>
    <r>
      <rPr>
        <sz val="11"/>
        <color theme="1"/>
        <rFont val="Noto Sans"/>
        <family val="0"/>
        <charset val="1"/>
      </rPr>
      <t xml:space="preserve">) → </t>
    </r>
    <r>
      <rPr>
        <sz val="11"/>
        <color theme="1"/>
        <rFont val="Noto Sans CJK SC"/>
        <family val="2"/>
      </rPr>
      <t xml:space="preserve">항목별 승인 주체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학부모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선생님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자동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에 따라 자동 라우팅</t>
    </r>
  </si>
  <si>
    <r>
      <rPr>
        <sz val="11"/>
        <color theme="1"/>
        <rFont val="Noto Sans"/>
        <family val="0"/>
        <charset val="1"/>
      </rPr>
      <t xml:space="preserve">approval_items(approver_type: PARENT|TEACHER|AUTO), GET /approvals?assignee=me, POST .../:approve|:reject
▷[0723] </t>
    </r>
    <r>
      <rPr>
        <sz val="11"/>
        <color theme="1"/>
        <rFont val="Noto Sans CJK SC"/>
        <family val="2"/>
      </rPr>
      <t xml:space="preserve">승인 대기 </t>
    </r>
    <r>
      <rPr>
        <sz val="11"/>
        <color theme="1"/>
        <rFont val="Noto Sans"/>
        <family val="0"/>
        <charset val="1"/>
      </rPr>
      <t xml:space="preserve">UI=</t>
    </r>
    <r>
      <rPr>
        <sz val="11"/>
        <color theme="1"/>
        <rFont val="Noto Sans CJK SC"/>
        <family val="2"/>
      </rPr>
      <t xml:space="preserve">시안</t>
    </r>
    <r>
      <rPr>
        <sz val="11"/>
        <color theme="1"/>
        <rFont val="Noto Sans"/>
        <family val="0"/>
        <charset val="1"/>
      </rPr>
      <t xml:space="preserve">1. </t>
    </r>
    <r>
      <rPr>
        <sz val="11"/>
        <color theme="1"/>
        <rFont val="Noto Sans CJK SC"/>
        <family val="2"/>
      </rPr>
      <t xml:space="preserve">에스컬레이션</t>
    </r>
    <r>
      <rPr>
        <sz val="11"/>
        <color theme="1"/>
        <rFont val="Noto Sans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부모 승인→일정시간 미응답→담임 승인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응답시간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입학시 승인자 사전지정은 미확약
▷</t>
    </r>
    <r>
      <rPr>
        <sz val="11"/>
        <color theme="1"/>
        <rFont val="Noto Sans"/>
        <family val="0"/>
        <charset val="1"/>
      </rPr>
      <t xml:space="preserve">[0803] </t>
    </r>
    <r>
      <rPr>
        <sz val="11"/>
        <color theme="1"/>
        <rFont val="Noto Sans CJK SC"/>
        <family val="2"/>
      </rPr>
      <t xml:space="preserve">학부모 최대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인 확정 → </t>
    </r>
    <r>
      <rPr>
        <sz val="11"/>
        <color theme="1"/>
        <rFont val="Noto Sans"/>
        <family val="0"/>
        <charset val="1"/>
      </rPr>
      <t xml:space="preserve">PARENT </t>
    </r>
    <r>
      <rPr>
        <sz val="11"/>
        <color theme="1"/>
        <rFont val="Noto Sans CJK SC"/>
        <family val="2"/>
      </rPr>
      <t xml:space="preserve">라우팅 대상은 단일 계정</t>
    </r>
  </si>
  <si>
    <t xml:space="preserve">approval_items, approval_requests</t>
  </si>
  <si>
    <r>
      <rPr>
        <sz val="11"/>
        <color theme="1"/>
        <rFont val="Noto Sans"/>
        <family val="0"/>
        <charset val="1"/>
      </rPr>
      <t xml:space="preserve">F-4.1-6 </t>
    </r>
    <r>
      <rPr>
        <sz val="11"/>
        <color theme="1"/>
        <rFont val="Noto Sans CJK SC"/>
        <family val="2"/>
      </rPr>
      <t xml:space="preserve">사유</t>
    </r>
    <r>
      <rPr>
        <sz val="11"/>
        <color theme="1"/>
        <rFont val="Noto Sans"/>
        <family val="0"/>
        <charset val="1"/>
      </rPr>
      <t xml:space="preserve">, F-4.1-7 </t>
    </r>
    <r>
      <rPr>
        <sz val="11"/>
        <color theme="1"/>
        <rFont val="Noto Sans CJK SC"/>
        <family val="2"/>
      </rPr>
      <t xml:space="preserve">정기일정</t>
    </r>
    <r>
      <rPr>
        <sz val="11"/>
        <color theme="1"/>
        <rFont val="Noto Sans"/>
        <family val="0"/>
        <charset val="1"/>
      </rPr>
      <t xml:space="preserve">, F-4.11-10 </t>
    </r>
    <r>
      <rPr>
        <sz val="11"/>
        <color theme="1"/>
        <rFont val="Noto Sans CJK SC"/>
        <family val="2"/>
      </rPr>
      <t xml:space="preserve">방화벽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A-19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</si>
  <si>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는 관리자 직접 처리 구조만 존재 — 승인주체 자동분기 라우팅 자체가 신규</t>
    </r>
  </si>
  <si>
    <t xml:space="preserve">#32(I-12), #40(I-20)</t>
  </si>
  <si>
    <t xml:space="preserve">F-4.11-6</t>
  </si>
  <si>
    <r>
      <rPr>
        <sz val="11"/>
        <color theme="1"/>
        <rFont val="Noto Sans"/>
        <family val="0"/>
        <charset val="1"/>
      </rPr>
      <t xml:space="preserve">Daily Report 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서버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</si>
  <si>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Daily Report(</t>
    </r>
    <r>
      <rPr>
        <sz val="11"/>
        <color theme="1"/>
        <rFont val="Noto Sans CJK SC"/>
        <family val="2"/>
      </rPr>
      <t xml:space="preserve">대시보드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의 데이터 원천 — 순공시간 랭킹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달력 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일자별 순공시간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질의응답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데일리테스트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학생 셀프 피드백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매일 밤 </t>
    </r>
    <r>
      <rPr>
        <sz val="11"/>
        <color theme="1"/>
        <rFont val="Noto Sans"/>
        <family val="0"/>
        <charset val="1"/>
      </rPr>
      <t xml:space="preserve">FCM </t>
    </r>
    <r>
      <rPr>
        <sz val="11"/>
        <color theme="1"/>
        <rFont val="Noto Sans CJK SC"/>
        <family val="2"/>
      </rPr>
      <t xml:space="preserve">요약 푸시</t>
    </r>
  </si>
  <si>
    <r>
      <rPr>
        <sz val="11"/>
        <color theme="1"/>
        <rFont val="Noto Sans"/>
        <family val="0"/>
        <charset val="1"/>
      </rPr>
      <t xml:space="preserve">GET daily-reports/{studentId}/{date}, .../monthly, PATCH .../self-feedback, GET study-time-rankings(scope×period </t>
    </r>
    <r>
      <rPr>
        <sz val="11"/>
        <color theme="1"/>
        <rFont val="Noto Sans CJK SC"/>
        <family val="2"/>
      </rPr>
      <t xml:space="preserve">배치 집계</t>
    </r>
    <r>
      <rPr>
        <sz val="11"/>
        <color theme="1"/>
        <rFont val="Noto Sans"/>
        <family val="0"/>
        <charset val="1"/>
      </rPr>
      <t xml:space="preserve">)
▷[0803] '</t>
    </r>
    <r>
      <rPr>
        <sz val="11"/>
        <color theme="1"/>
        <rFont val="Noto Sans CJK SC"/>
        <family val="2"/>
      </rPr>
      <t xml:space="preserve">데일리테스트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원천 </t>
    </r>
    <r>
      <rPr>
        <sz val="11"/>
        <color theme="1"/>
        <rFont val="Noto Sans"/>
        <family val="0"/>
        <charset val="1"/>
      </rPr>
      <t xml:space="preserve">= F-4.11-1 </t>
    </r>
    <r>
      <rPr>
        <sz val="11"/>
        <color theme="1"/>
        <rFont val="Noto Sans CJK SC"/>
        <family val="2"/>
      </rPr>
      <t xml:space="preserve">검수확정 결과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영단어시험 폐기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순찰 폐기로 순공시간 산출에서 순찰 기준 제외 → 입퇴실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좌석이탈 기준으로 재정의 필요</t>
    </r>
    <r>
      <rPr>
        <sz val="11"/>
        <color theme="1"/>
        <rFont val="Noto Sans"/>
        <family val="0"/>
        <charset val="1"/>
      </rPr>
      <t xml:space="preserve">(I-6)</t>
    </r>
  </si>
  <si>
    <t xml:space="preserve">daily_report_feedback, study_time_rankings</t>
  </si>
  <si>
    <r>
      <rPr>
        <sz val="11"/>
        <color theme="1"/>
        <rFont val="Noto Sans"/>
        <family val="0"/>
        <charset val="1"/>
      </rPr>
      <t xml:space="preserve">F-4.3-2 </t>
    </r>
    <r>
      <rPr>
        <sz val="11"/>
        <color theme="1"/>
        <rFont val="Noto Sans CJK SC"/>
        <family val="2"/>
      </rPr>
      <t xml:space="preserve">좌석이탈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A-3</t>
    </r>
  </si>
  <si>
    <t xml:space="preserve">#26(I-6), #34(I-14)</t>
  </si>
  <si>
    <t xml:space="preserve">F-4.11-7</t>
  </si>
  <si>
    <r>
      <rPr>
        <sz val="11"/>
        <color theme="1"/>
        <rFont val="Noto Sans CJK SC"/>
        <family val="2"/>
      </rPr>
      <t xml:space="preserve">질의응답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온라인 </t>
    </r>
    <r>
      <rPr>
        <sz val="11"/>
        <color theme="1"/>
        <rFont val="Noto Sans"/>
        <family val="0"/>
        <charset val="1"/>
      </rPr>
      <t xml:space="preserve">ON · </t>
    </r>
    <r>
      <rPr>
        <sz val="11"/>
        <color theme="1"/>
        <rFont val="Noto Sans CJK SC"/>
        <family val="2"/>
      </rPr>
      <t xml:space="preserve">대면 </t>
    </r>
    <r>
      <rPr>
        <sz val="11"/>
        <color theme="1"/>
        <rFont val="Noto Sans"/>
        <family val="0"/>
        <charset val="1"/>
      </rPr>
      <t xml:space="preserve">OFF)</t>
    </r>
  </si>
  <si>
    <r>
      <rPr>
        <sz val="11"/>
        <color theme="1"/>
        <rFont val="Noto Sans"/>
        <family val="0"/>
        <charset val="1"/>
      </rPr>
      <t xml:space="preserve">▷[0803] 2</t>
    </r>
    <r>
      <rPr>
        <sz val="11"/>
        <color theme="1"/>
        <rFont val="Noto Sans CJK SC"/>
        <family val="2"/>
      </rPr>
      <t xml:space="preserve">트랙</t>
    </r>
    <r>
      <rPr>
        <sz val="11"/>
        <color theme="1"/>
        <rFont val="Noto Sans"/>
        <family val="0"/>
        <charset val="1"/>
      </rPr>
      <t xml:space="preserve">. ON(</t>
    </r>
    <r>
      <rPr>
        <sz val="11"/>
        <color theme="1"/>
        <rFont val="Noto Sans CJK SC"/>
        <family val="2"/>
      </rPr>
      <t xml:space="preserve">온라인</t>
    </r>
    <r>
      <rPr>
        <sz val="11"/>
        <color theme="1"/>
        <rFont val="Noto Sans"/>
        <family val="0"/>
        <charset val="1"/>
      </rPr>
      <t xml:space="preserve">): </t>
    </r>
    <r>
      <rPr>
        <sz val="11"/>
        <color theme="1"/>
        <rFont val="Noto Sans CJK SC"/>
        <family val="2"/>
      </rPr>
      <t xml:space="preserve">학생 익명 질문 등록 → 과목 담당 멘토 배정 → 답변 → 학생 확인</t>
    </r>
    <r>
      <rPr>
        <sz val="11"/>
        <color theme="1"/>
        <rFont val="Noto Sans"/>
        <family val="0"/>
        <charset val="1"/>
      </rPr>
      <t xml:space="preserve">. OFF(</t>
    </r>
    <r>
      <rPr>
        <sz val="11"/>
        <color theme="1"/>
        <rFont val="Noto Sans CJK SC"/>
        <family val="2"/>
      </rPr>
      <t xml:space="preserve">대면</t>
    </r>
    <r>
      <rPr>
        <sz val="11"/>
        <color theme="1"/>
        <rFont val="Noto Sans"/>
        <family val="0"/>
        <charset val="1"/>
      </rPr>
      <t xml:space="preserve">): </t>
    </r>
    <r>
      <rPr>
        <sz val="11"/>
        <color theme="1"/>
        <rFont val="Noto Sans CJK SC"/>
        <family val="2"/>
      </rPr>
      <t xml:space="preserve">상담실 가능 타임 개설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예약 현황 관리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영단어 시험 전면 폐기 — </t>
    </r>
    <r>
      <rPr>
        <sz val="11"/>
        <color theme="1"/>
        <rFont val="Noto Sans"/>
        <family val="0"/>
        <charset val="1"/>
      </rPr>
      <t xml:space="preserve">API·</t>
    </r>
    <r>
      <rPr>
        <sz val="11"/>
        <color theme="1"/>
        <rFont val="Noto Sans CJK SC"/>
        <family val="2"/>
      </rPr>
      <t xml:space="preserve">스키마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화면 삭제</t>
    </r>
  </si>
  <si>
    <r>
      <rPr>
        <sz val="11"/>
        <color theme="1"/>
        <rFont val="Noto Sans"/>
        <family val="0"/>
        <charset val="1"/>
      </rPr>
      <t xml:space="preserve">GET/POST qna(</t>
    </r>
    <r>
      <rPr>
        <sz val="11"/>
        <color theme="1"/>
        <rFont val="Noto Sans CJK SC"/>
        <family val="2"/>
      </rPr>
      <t xml:space="preserve">온라인 게시판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멘토 배정 규칙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답변 </t>
    </r>
    <r>
      <rPr>
        <sz val="11"/>
        <color theme="1"/>
        <rFont val="Noto Sans"/>
        <family val="0"/>
        <charset val="1"/>
      </rPr>
      <t xml:space="preserve">SLA·</t>
    </r>
    <r>
      <rPr>
        <sz val="11"/>
        <color theme="1"/>
        <rFont val="Noto Sans CJK SC"/>
        <family val="2"/>
      </rPr>
      <t xml:space="preserve">첨부 허용 여부 확정 필요</t>
    </r>
    <r>
      <rPr>
        <sz val="11"/>
        <color theme="1"/>
        <rFont val="Noto Sans"/>
        <family val="0"/>
        <charset val="1"/>
      </rPr>
      <t xml:space="preserve">. GET/POST qna/offline/slots, GET qna/offline/reservations. 1:1</t>
    </r>
    <r>
      <rPr>
        <sz val="11"/>
        <color theme="1"/>
        <rFont val="Noto Sans CJK SC"/>
        <family val="2"/>
      </rPr>
      <t xml:space="preserve">채팅</t>
    </r>
    <r>
      <rPr>
        <sz val="11"/>
        <color theme="1"/>
        <rFont val="Noto Sans"/>
        <family val="0"/>
        <charset val="1"/>
      </rPr>
      <t xml:space="preserve">(F-4.11-3)</t>
    </r>
    <r>
      <rPr>
        <sz val="11"/>
        <color theme="1"/>
        <rFont val="Noto Sans CJK SC"/>
        <family val="2"/>
      </rPr>
      <t xml:space="preserve">과 기능 경계 선결정 필요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별도 도메인 유지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채팅 흡수</t>
    </r>
    <r>
      <rPr>
        <sz val="11"/>
        <color theme="1"/>
        <rFont val="Noto Sans"/>
        <family val="0"/>
        <charset val="1"/>
      </rPr>
      <t xml:space="preserve">)</t>
    </r>
  </si>
  <si>
    <t xml:space="preserve">qna_questions, qna_answers, qna_offline_slots, qna_offline_reservations</t>
  </si>
  <si>
    <r>
      <rPr>
        <sz val="11"/>
        <color theme="1"/>
        <rFont val="Noto Sans"/>
        <family val="0"/>
        <charset val="1"/>
      </rPr>
      <t xml:space="preserve">F-4.11-6 Daily Report(</t>
    </r>
    <r>
      <rPr>
        <sz val="11"/>
        <color theme="1"/>
        <rFont val="Noto Sans CJK SC"/>
        <family val="2"/>
      </rPr>
      <t xml:space="preserve">횟수 반영</t>
    </r>
    <r>
      <rPr>
        <sz val="11"/>
        <color theme="1"/>
        <rFont val="Noto Sans"/>
        <family val="0"/>
        <charset val="1"/>
      </rPr>
      <t xml:space="preserve">), F-4.11-3 1:1</t>
    </r>
    <r>
      <rPr>
        <sz val="11"/>
        <color theme="1"/>
        <rFont val="Noto Sans CJK SC"/>
        <family val="2"/>
      </rPr>
      <t xml:space="preserve">채팅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A-13</t>
    </r>
  </si>
  <si>
    <t xml:space="preserve">#20(E-6)</t>
  </si>
  <si>
    <t xml:space="preserve">F-4.11-8</t>
  </si>
  <si>
    <r>
      <rPr>
        <sz val="11"/>
        <color theme="1"/>
        <rFont val="Noto Sans CJK SC"/>
        <family val="2"/>
      </rPr>
      <t xml:space="preserve">신상기록부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입학 필수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학생 입력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</si>
  <si>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입학 시 필수 작성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회원가입 후 앱에서 학생 본인이 설문형 입력→강제 진행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학년별 폼 분기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고</t>
    </r>
    <r>
      <rPr>
        <sz val="11"/>
        <color theme="1"/>
        <rFont val="Noto Sans"/>
        <family val="0"/>
        <charset val="1"/>
      </rPr>
      <t xml:space="preserve">2·</t>
    </r>
    <r>
      <rPr>
        <sz val="11"/>
        <color theme="1"/>
        <rFont val="Noto Sans CJK SC"/>
        <family val="2"/>
      </rPr>
      <t xml:space="preserve">고</t>
    </r>
    <r>
      <rPr>
        <sz val="11"/>
        <color theme="1"/>
        <rFont val="Noto Sans"/>
        <family val="0"/>
        <charset val="1"/>
      </rPr>
      <t xml:space="preserve">3=</t>
    </r>
    <r>
      <rPr>
        <sz val="11"/>
        <color theme="1"/>
        <rFont val="Noto Sans CJK SC"/>
        <family val="2"/>
      </rPr>
      <t xml:space="preserve">단순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재수</t>
    </r>
    <r>
      <rPr>
        <sz val="11"/>
        <color theme="1"/>
        <rFont val="Noto Sans"/>
        <family val="0"/>
        <charset val="1"/>
      </rPr>
      <t xml:space="preserve">·N</t>
    </r>
    <r>
      <rPr>
        <sz val="11"/>
        <color theme="1"/>
        <rFont val="Noto Sans CJK SC"/>
        <family val="2"/>
      </rPr>
      <t xml:space="preserve">수</t>
    </r>
    <r>
      <rPr>
        <sz val="11"/>
        <color theme="1"/>
        <rFont val="Noto Sans"/>
        <family val="0"/>
        <charset val="1"/>
      </rPr>
      <t xml:space="preserve">=4</t>
    </r>
    <r>
      <rPr>
        <sz val="11"/>
        <color theme="1"/>
        <rFont val="Noto Sans CJK SC"/>
        <family val="2"/>
      </rPr>
      <t xml:space="preserve">종</t>
    </r>
    <r>
      <rPr>
        <sz val="11"/>
        <color theme="1"/>
        <rFont val="Noto Sans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신상기록부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전년도 학습방법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개별 학습방법</t>
    </r>
    <r>
      <rPr>
        <sz val="11"/>
        <color theme="1"/>
        <rFont val="Noto Sans"/>
        <family val="0"/>
        <charset val="1"/>
      </rPr>
      <t xml:space="preserve">·1</t>
    </r>
    <r>
      <rPr>
        <sz val="11"/>
        <color theme="1"/>
        <rFont val="Noto Sans CJK SC"/>
        <family val="2"/>
      </rPr>
      <t xml:space="preserve">학기 학습계획표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</si>
  <si>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가입 기본정보 자동표시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설문 입력 제외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관리 학생상담 탭에서 열람</t>
    </r>
    <r>
      <rPr>
        <sz val="11"/>
        <color theme="1"/>
        <rFont val="Noto Sans"/>
        <family val="0"/>
        <charset val="1"/>
      </rPr>
      <t xml:space="preserve">+PDF </t>
    </r>
    <r>
      <rPr>
        <sz val="11"/>
        <color theme="1"/>
        <rFont val="Noto Sans CJK SC"/>
        <family val="2"/>
      </rPr>
      <t xml:space="preserve">다운로드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선생님 출력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미작성 시 등록 미완</t>
    </r>
  </si>
  <si>
    <r>
      <rPr>
        <sz val="11"/>
        <color theme="1"/>
        <rFont val="Noto Sans"/>
        <family val="0"/>
        <charset val="1"/>
      </rPr>
      <t xml:space="preserve">student_profiles, profile_forms(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</si>
  <si>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A-2 </t>
    </r>
    <r>
      <rPr>
        <sz val="11"/>
        <color theme="1"/>
        <rFont val="Noto Sans CJK SC"/>
        <family val="2"/>
      </rPr>
      <t xml:space="preserve">온보딩</t>
    </r>
    <r>
      <rPr>
        <sz val="11"/>
        <color theme="1"/>
        <rFont val="Noto Sans"/>
        <family val="0"/>
        <charset val="1"/>
      </rPr>
      <t xml:space="preserve">, A-17 / F-4.11-4 </t>
    </r>
    <r>
      <rPr>
        <sz val="11"/>
        <color theme="1"/>
        <rFont val="Noto Sans CJK SC"/>
        <family val="2"/>
      </rPr>
      <t xml:space="preserve">상담</t>
    </r>
  </si>
  <si>
    <r>
      <rPr>
        <sz val="11"/>
        <color theme="1"/>
        <rFont val="Noto Sans CJK SC"/>
        <family val="2"/>
      </rPr>
      <t xml:space="preserve">구글시트로 운영 중이던 초도상담 자료의 앱화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완전 신규</t>
    </r>
  </si>
  <si>
    <t xml:space="preserve">#37(I-17), #35(I-15)</t>
  </si>
  <si>
    <t xml:space="preserve">F-4.11-9</t>
  </si>
  <si>
    <t xml:space="preserve">연간 행사 마스터</t>
  </si>
  <si>
    <r>
      <rPr>
        <sz val="11"/>
        <color theme="1"/>
        <rFont val="Noto Sans CJK SC"/>
        <family val="2"/>
      </rPr>
      <t xml:space="preserve">관리자가 사전 연간 행사 입력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Noto Sans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종일 모의고사일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학생 학습계획 입력 시 해당일 자동 반영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차단</t>
    </r>
  </si>
  <si>
    <r>
      <rPr>
        <sz val="11"/>
        <color theme="1"/>
        <rFont val="Noto Sans CJK SC"/>
        <family val="2"/>
      </rPr>
      <t xml:space="preserve">행사 유형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기간 마스터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학습계획</t>
    </r>
    <r>
      <rPr>
        <sz val="11"/>
        <color theme="1"/>
        <rFont val="Noto Sans"/>
        <family val="0"/>
        <charset val="1"/>
      </rPr>
      <t xml:space="preserve">(F-4.11-2)</t>
    </r>
    <r>
      <rPr>
        <sz val="11"/>
        <color theme="1"/>
        <rFont val="Noto Sans CJK SC"/>
        <family val="2"/>
      </rPr>
      <t xml:space="preserve">에서 참조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기초설정</t>
    </r>
    <r>
      <rPr>
        <sz val="11"/>
        <color theme="1"/>
        <rFont val="Noto Sans"/>
        <family val="0"/>
        <charset val="1"/>
      </rPr>
      <t xml:space="preserve">(4.10) </t>
    </r>
    <r>
      <rPr>
        <sz val="11"/>
        <color theme="1"/>
        <rFont val="Noto Sans CJK SC"/>
        <family val="2"/>
      </rPr>
      <t xml:space="preserve">하위 배치 가능</t>
    </r>
  </si>
  <si>
    <r>
      <rPr>
        <sz val="11"/>
        <color theme="1"/>
        <rFont val="Noto Sans"/>
        <family val="0"/>
        <charset val="1"/>
      </rPr>
      <t xml:space="preserve">annual_events(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</si>
  <si>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F-4.11-2 </t>
    </r>
    <r>
      <rPr>
        <sz val="11"/>
        <color theme="1"/>
        <rFont val="Noto Sans CJK SC"/>
        <family val="2"/>
      </rPr>
      <t xml:space="preserve">학습계획</t>
    </r>
    <r>
      <rPr>
        <sz val="11"/>
        <color theme="1"/>
        <rFont val="Noto Sans"/>
        <family val="0"/>
        <charset val="1"/>
      </rPr>
      <t xml:space="preserve">, F-4.10-1 </t>
    </r>
    <r>
      <rPr>
        <sz val="11"/>
        <color theme="1"/>
        <rFont val="Noto Sans CJK SC"/>
        <family val="2"/>
      </rPr>
      <t xml:space="preserve">기초관리</t>
    </r>
  </si>
  <si>
    <t xml:space="preserve">#41(I-21)</t>
  </si>
  <si>
    <t xml:space="preserve">F-4.11-10</t>
  </si>
  <si>
    <t xml:space="preserve">방화벽 해제 관리</t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</si>
  <si>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신규 편입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학생 앱 해제 신청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최대 </t>
    </r>
    <r>
      <rPr>
        <sz val="11"/>
        <color theme="1"/>
        <rFont val="Noto Sans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사유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수신 → 승인 → </t>
    </r>
    <r>
      <rPr>
        <sz val="11"/>
        <color theme="1"/>
        <rFont val="Noto Sans"/>
        <family val="0"/>
        <charset val="1"/>
      </rPr>
      <t xml:space="preserve">Zyxel Nebula API </t>
    </r>
    <r>
      <rPr>
        <sz val="11"/>
        <color theme="1"/>
        <rFont val="Noto Sans CJK SC"/>
        <family val="2"/>
      </rPr>
      <t xml:space="preserve">자동 해제 → 만료 시 자동 차단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관리자 화면에서 신청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해제 이력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현재 해제중 목록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위반 적발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제한</t>
    </r>
    <r>
      <rPr>
        <sz val="11"/>
        <color theme="1"/>
        <rFont val="Noto Sans"/>
        <family val="0"/>
        <charset val="1"/>
      </rPr>
      <t xml:space="preserve">(2</t>
    </r>
    <r>
      <rPr>
        <sz val="11"/>
        <color theme="1"/>
        <rFont val="Noto Sans CJK SC"/>
        <family val="2"/>
      </rPr>
      <t xml:space="preserve">회 적발 시 </t>
    </r>
    <r>
      <rPr>
        <sz val="11"/>
        <color theme="1"/>
        <rFont val="Noto Sans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주 신청 제한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관리</t>
    </r>
  </si>
  <si>
    <r>
      <rPr>
        <sz val="11"/>
        <color theme="1"/>
        <rFont val="Noto Sans"/>
        <family val="0"/>
        <charset val="1"/>
      </rPr>
      <t xml:space="preserve">POST /api/v1/firewall/unlock-requests → </t>
    </r>
    <r>
      <rPr>
        <sz val="11"/>
        <color theme="1"/>
        <rFont val="Noto Sans CJK SC"/>
        <family val="2"/>
      </rPr>
      <t xml:space="preserve">승인 라우팅</t>
    </r>
    <r>
      <rPr>
        <sz val="11"/>
        <color theme="1"/>
        <rFont val="Noto Sans"/>
        <family val="0"/>
        <charset val="1"/>
      </rPr>
      <t xml:space="preserve">(F-4.11-5) → NebulaClient.allow(deviceOrPolicy) → </t>
    </r>
    <r>
      <rPr>
        <sz val="11"/>
        <color theme="1"/>
        <rFont val="Noto Sans CJK SC"/>
        <family val="2"/>
      </rPr>
      <t xml:space="preserve">만료 스케줄러 자동 차단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인강 화이트리스트 관리</t>
    </r>
    <r>
      <rPr>
        <sz val="11"/>
        <color theme="1"/>
        <rFont val="Noto Sans"/>
        <family val="0"/>
        <charset val="1"/>
      </rPr>
      <t xml:space="preserve">. 🔴 </t>
    </r>
    <r>
      <rPr>
        <sz val="11"/>
        <color theme="1"/>
        <rFont val="Noto Sans CJK SC"/>
        <family val="2"/>
      </rPr>
      <t xml:space="preserve">제어 단위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단말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정책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그룹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미확정</t>
    </r>
    <r>
      <rPr>
        <sz val="11"/>
        <color theme="1"/>
        <rFont val="Noto Sans"/>
        <family val="0"/>
        <charset val="1"/>
      </rPr>
      <t xml:space="preserve">(E-1) → </t>
    </r>
    <r>
      <rPr>
        <sz val="11"/>
        <color theme="1"/>
        <rFont val="Noto Sans CJK SC"/>
        <family val="2"/>
      </rPr>
      <t xml:space="preserve">어댑터 인터페이스 추상화 후 확정 시 구현 스왑</t>
    </r>
  </si>
  <si>
    <r>
      <rPr>
        <sz val="11"/>
        <color theme="1"/>
        <rFont val="Noto Sans"/>
        <family val="0"/>
        <charset val="1"/>
      </rPr>
      <t xml:space="preserve">firewall_unlock_requests(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), branch_configs.nebula_device_id</t>
    </r>
  </si>
  <si>
    <r>
      <rPr>
        <sz val="11"/>
        <color theme="1"/>
        <rFont val="Noto Sans"/>
        <family val="0"/>
        <charset val="1"/>
      </rPr>
      <t xml:space="preserve">F-4.11-5 </t>
    </r>
    <r>
      <rPr>
        <sz val="11"/>
        <color theme="1"/>
        <rFont val="Noto Sans CJK SC"/>
        <family val="2"/>
      </rPr>
      <t xml:space="preserve">승인 라우팅</t>
    </r>
    <r>
      <rPr>
        <sz val="11"/>
        <color theme="1"/>
        <rFont val="Noto Sans"/>
        <family val="0"/>
        <charset val="1"/>
      </rPr>
      <t xml:space="preserve">, F-4.10-7 </t>
    </r>
    <r>
      <rPr>
        <sz val="11"/>
        <color theme="1"/>
        <rFont val="Noto Sans CJK SC"/>
        <family val="2"/>
      </rPr>
      <t xml:space="preserve">지점 설정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A-8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</si>
  <si>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화면 없음 — 완전 신규</t>
    </r>
    <r>
      <rPr>
        <sz val="11"/>
        <color theme="1"/>
        <rFont val="Noto Sans"/>
        <family val="0"/>
        <charset val="1"/>
      </rPr>
      <t xml:space="preserve">. v1.0 </t>
    </r>
    <r>
      <rPr>
        <sz val="11"/>
        <color theme="1"/>
        <rFont val="Noto Sans CJK SC"/>
        <family val="2"/>
      </rPr>
      <t xml:space="preserve">요구사항정의서에 화면 요구사항 누락되어 </t>
    </r>
    <r>
      <rPr>
        <sz val="11"/>
        <color theme="1"/>
        <rFont val="Noto Sans"/>
        <family val="0"/>
        <charset val="1"/>
      </rPr>
      <t xml:space="preserve">0803 </t>
    </r>
    <r>
      <rPr>
        <sz val="11"/>
        <color theme="1"/>
        <rFont val="Noto Sans CJK SC"/>
        <family val="2"/>
      </rPr>
      <t xml:space="preserve">편입</t>
    </r>
  </si>
  <si>
    <t xml:space="preserve">#15(E-1), #32(I-12)</t>
  </si>
  <si>
    <t xml:space="preserve">F-4.11-11</t>
  </si>
  <si>
    <r>
      <rPr>
        <sz val="11"/>
        <color theme="1"/>
        <rFont val="Noto Sans CJK SC"/>
        <family val="2"/>
      </rPr>
      <t xml:space="preserve">통계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관리자 대시보드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</si>
  <si>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신규 편입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기본 통계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재원생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상벌점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순공시간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매출 상세 통계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기간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지점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과정별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실적 통계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급식 신청 통계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지점별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전체 스코프 전환</t>
    </r>
  </si>
  <si>
    <r>
      <rPr>
        <sz val="11"/>
        <color theme="1"/>
        <rFont val="Noto Sans CJK SC"/>
        <family val="2"/>
      </rPr>
      <t xml:space="preserve">집계 전용 </t>
    </r>
    <r>
      <rPr>
        <sz val="11"/>
        <color theme="1"/>
        <rFont val="Noto Sans"/>
        <family val="0"/>
        <charset val="1"/>
      </rPr>
      <t xml:space="preserve">API + </t>
    </r>
    <r>
      <rPr>
        <sz val="11"/>
        <color theme="1"/>
        <rFont val="Noto Sans CJK SC"/>
        <family val="2"/>
      </rPr>
      <t xml:space="preserve">배치 사전집계 테이블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대용량 실시간 집계 금지</t>
    </r>
    <r>
      <rPr>
        <sz val="11"/>
        <color theme="1"/>
        <rFont val="Noto Sans"/>
        <family val="0"/>
        <charset val="1"/>
      </rPr>
      <t xml:space="preserve">). RBAC</t>
    </r>
    <r>
      <rPr>
        <sz val="11"/>
        <color theme="1"/>
        <rFont val="Noto Sans CJK SC"/>
        <family val="2"/>
      </rPr>
      <t xml:space="preserve">에 따라 지점 스코프 강제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엑셀 </t>
    </r>
    <r>
      <rPr>
        <sz val="11"/>
        <color theme="1"/>
        <rFont val="Noto Sans"/>
        <family val="0"/>
        <charset val="1"/>
      </rPr>
      <t xml:space="preserve">Export </t>
    </r>
    <r>
      <rPr>
        <sz val="11"/>
        <color theme="1"/>
        <rFont val="Noto Sans CJK SC"/>
        <family val="2"/>
      </rPr>
      <t xml:space="preserve">지원</t>
    </r>
  </si>
  <si>
    <r>
      <rPr>
        <sz val="11"/>
        <color theme="1"/>
        <rFont val="Noto Sans"/>
        <family val="0"/>
        <charset val="1"/>
      </rPr>
      <t xml:space="preserve">statistics </t>
    </r>
    <r>
      <rPr>
        <sz val="11"/>
        <color theme="1"/>
        <rFont val="Noto Sans CJK SC"/>
        <family val="2"/>
      </rPr>
      <t xml:space="preserve">집계 테이블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), study_time_rankings</t>
    </r>
  </si>
  <si>
    <r>
      <rPr>
        <sz val="11"/>
        <color theme="1"/>
        <rFont val="Noto Sans"/>
        <family val="0"/>
        <charset val="1"/>
      </rPr>
      <t xml:space="preserve">F-4.8-1 </t>
    </r>
    <r>
      <rPr>
        <sz val="11"/>
        <color theme="1"/>
        <rFont val="Noto Sans CJK SC"/>
        <family val="2"/>
      </rPr>
      <t xml:space="preserve">수납</t>
    </r>
    <r>
      <rPr>
        <sz val="11"/>
        <color theme="1"/>
        <rFont val="Noto Sans"/>
        <family val="0"/>
        <charset val="1"/>
      </rPr>
      <t xml:space="preserve">, F-4.10-6 </t>
    </r>
    <r>
      <rPr>
        <sz val="11"/>
        <color theme="1"/>
        <rFont val="Noto Sans CJK SC"/>
        <family val="2"/>
      </rPr>
      <t xml:space="preserve">실적</t>
    </r>
    <r>
      <rPr>
        <sz val="11"/>
        <color theme="1"/>
        <rFont val="Noto Sans"/>
        <family val="0"/>
        <charset val="1"/>
      </rPr>
      <t xml:space="preserve">, F-4.11-6 Daily Report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</si>
  <si>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화면 없음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기술문서 </t>
    </r>
    <r>
      <rPr>
        <sz val="11"/>
        <color theme="1"/>
        <rFont val="Noto Sans"/>
        <family val="0"/>
        <charset val="1"/>
      </rPr>
      <t xml:space="preserve">Phase4 </t>
    </r>
    <r>
      <rPr>
        <sz val="11"/>
        <color theme="1"/>
        <rFont val="Noto Sans CJK SC"/>
        <family val="2"/>
      </rPr>
      <t xml:space="preserve">항목이나 </t>
    </r>
    <r>
      <rPr>
        <sz val="11"/>
        <color theme="1"/>
        <rFont val="Noto Sans"/>
        <family val="0"/>
        <charset val="1"/>
      </rPr>
      <t xml:space="preserve">v1.0 </t>
    </r>
    <r>
      <rPr>
        <sz val="11"/>
        <color theme="1"/>
        <rFont val="Noto Sans CJK SC"/>
        <family val="2"/>
      </rPr>
      <t xml:space="preserve">요구사항정의서에 미기재 → </t>
    </r>
    <r>
      <rPr>
        <sz val="11"/>
        <color theme="1"/>
        <rFont val="Noto Sans"/>
        <family val="0"/>
        <charset val="1"/>
      </rPr>
      <t xml:space="preserve">0803 </t>
    </r>
    <r>
      <rPr>
        <sz val="11"/>
        <color theme="1"/>
        <rFont val="Noto Sans CJK SC"/>
        <family val="2"/>
      </rPr>
      <t xml:space="preserve">편입</t>
    </r>
  </si>
  <si>
    <t xml:space="preserve">F-4.12-1</t>
  </si>
  <si>
    <r>
      <rPr>
        <sz val="11"/>
        <color theme="1"/>
        <rFont val="Noto Sans"/>
        <family val="0"/>
        <charset val="1"/>
      </rPr>
      <t xml:space="preserve">[4.12] </t>
    </r>
    <r>
      <rPr>
        <sz val="11"/>
        <color theme="1"/>
        <rFont val="Noto Sans CJK SC"/>
        <family val="2"/>
      </rPr>
      <t xml:space="preserve">앱 관리</t>
    </r>
  </si>
  <si>
    <r>
      <rPr>
        <sz val="11"/>
        <color theme="1"/>
        <rFont val="Noto Sans CJK SC"/>
        <family val="2"/>
      </rPr>
      <t xml:space="preserve">앱 계정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온보딩 관리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</si>
  <si>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앱 관리자 역할 폐지에 따라 신설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학부모 앱 계정 발급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초기화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잠금 해제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온보딩 </t>
    </r>
    <r>
      <rPr>
        <sz val="11"/>
        <color theme="1"/>
        <rFont val="Noto Sans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단계 진행 상태 모니터링</t>
    </r>
    <r>
      <rPr>
        <sz val="11"/>
        <color theme="1"/>
        <rFont val="Noto Sans"/>
        <family val="0"/>
        <charset val="1"/>
      </rPr>
      <t xml:space="preserve">(REGISTERED→OT_DONE→PARENT_LINKED→SCHEDULE_SET→ACTIVE), </t>
    </r>
    <r>
      <rPr>
        <sz val="11"/>
        <color theme="1"/>
        <rFont val="Noto Sans CJK SC"/>
        <family val="2"/>
      </rPr>
      <t xml:space="preserve">학부모 연동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최대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인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관리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해제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미완료자 독려 발송</t>
    </r>
  </si>
  <si>
    <r>
      <rPr>
        <sz val="11"/>
        <color theme="1"/>
        <rFont val="Noto Sans"/>
        <family val="0"/>
        <charset val="1"/>
      </rPr>
      <t xml:space="preserve">GET /api/v1/app-accounts — </t>
    </r>
    <r>
      <rPr>
        <sz val="11"/>
        <color theme="1"/>
        <rFont val="Noto Sans CJK SC"/>
        <family val="2"/>
      </rPr>
      <t xml:space="preserve">온보딩 상태별 필터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일괄 알림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비밀번호 초기화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임시 비밀번호 발급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최초 로그인 시 변경 강제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학생 상태</t>
    </r>
    <r>
      <rPr>
        <sz val="11"/>
        <color theme="1"/>
        <rFont val="Noto Sans"/>
        <family val="0"/>
        <charset val="1"/>
      </rPr>
      <t xml:space="preserve">(F-4.1-8) </t>
    </r>
    <r>
      <rPr>
        <sz val="11"/>
        <color theme="1"/>
        <rFont val="Noto Sans CJK SC"/>
        <family val="2"/>
      </rPr>
      <t xml:space="preserve">변경 시 앱 계정 자동 비활성 연계</t>
    </r>
  </si>
  <si>
    <r>
      <rPr>
        <sz val="11"/>
        <color theme="1"/>
        <rFont val="Noto Sans"/>
        <family val="0"/>
        <charset val="1"/>
      </rPr>
      <t xml:space="preserve">users, student_parent_links(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), students.onboarding_status</t>
    </r>
  </si>
  <si>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A-1, A-2 / F-4.1-8 </t>
    </r>
    <r>
      <rPr>
        <sz val="11"/>
        <color theme="1"/>
        <rFont val="Noto Sans CJK SC"/>
        <family val="2"/>
      </rPr>
      <t xml:space="preserve">학생 상태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</si>
  <si>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화면 없음 — 완전 신규</t>
    </r>
    <r>
      <rPr>
        <sz val="11"/>
        <color theme="1"/>
        <rFont val="Noto Sans"/>
        <family val="0"/>
        <charset val="1"/>
      </rPr>
      <t xml:space="preserve">(0803 </t>
    </r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앱 내 관리자 기능을 통합관리로 이관</t>
    </r>
    <r>
      <rPr>
        <sz val="11"/>
        <color theme="1"/>
        <rFont val="Noto Sans"/>
        <family val="0"/>
        <charset val="1"/>
      </rPr>
      <t xml:space="preserve">)</t>
    </r>
  </si>
  <si>
    <t xml:space="preserve">#44(I-24)</t>
  </si>
  <si>
    <t xml:space="preserve">F-4.12-2</t>
  </si>
  <si>
    <r>
      <rPr>
        <sz val="11"/>
        <color theme="1"/>
        <rFont val="Noto Sans CJK SC"/>
        <family val="2"/>
      </rPr>
      <t xml:space="preserve">앱 푸시 발송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이력 관리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</si>
  <si>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신설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앱 대상 푸시 즉시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예약 발송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대상 세그먼트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전체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지점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개인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발송 이력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도달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열람률 조회</t>
    </r>
    <r>
      <rPr>
        <sz val="11"/>
        <color theme="1"/>
        <rFont val="Noto Sans"/>
        <family val="0"/>
        <charset val="1"/>
      </rPr>
      <t xml:space="preserve">, FCM </t>
    </r>
    <r>
      <rPr>
        <sz val="11"/>
        <color theme="1"/>
        <rFont val="Noto Sans CJK SC"/>
        <family val="2"/>
      </rPr>
      <t xml:space="preserve">토큰 상태 점검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미등록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만료 단말 목록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</si>
  <si>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POST /api/v1/push/send, GET /push/logs. </t>
    </r>
    <r>
      <rPr>
        <sz val="11"/>
        <color theme="1"/>
        <rFont val="Noto Sans CJK SC"/>
        <family val="2"/>
      </rPr>
      <t xml:space="preserve">딥링크 페이로드</t>
    </r>
    <r>
      <rPr>
        <sz val="11"/>
        <color theme="1"/>
        <rFont val="Noto Sans"/>
        <family val="0"/>
        <charset val="1"/>
      </rPr>
      <t xml:space="preserve">({type, refId}) </t>
    </r>
    <r>
      <rPr>
        <sz val="11"/>
        <color theme="1"/>
        <rFont val="Noto Sans CJK SC"/>
        <family val="2"/>
      </rPr>
      <t xml:space="preserve">지정 </t>
    </r>
    <r>
      <rPr>
        <sz val="11"/>
        <color theme="1"/>
        <rFont val="Noto Sans"/>
        <family val="0"/>
        <charset val="1"/>
      </rPr>
      <t xml:space="preserve">UI. F-4.4-1 </t>
    </r>
    <r>
      <rPr>
        <sz val="11"/>
        <color theme="1"/>
        <rFont val="Noto Sans CJK SC"/>
        <family val="2"/>
      </rPr>
      <t xml:space="preserve">알림 발송과 채널만 다르고 대상 선택 컴포넌트는 공용</t>
    </r>
  </si>
  <si>
    <r>
      <rPr>
        <sz val="11"/>
        <color theme="1"/>
        <rFont val="Noto Sans"/>
        <family val="0"/>
        <charset val="1"/>
      </rPr>
      <t xml:space="preserve">notification_logs, push_tokens(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</si>
  <si>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F-4.4-1, F-4.4-2 /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A-21</t>
    </r>
  </si>
  <si>
    <t xml:space="preserve">#45(E-7), #34(I-14)</t>
  </si>
  <si>
    <t xml:space="preserve">F-4.12-3</t>
  </si>
  <si>
    <r>
      <rPr>
        <sz val="11"/>
        <color theme="1"/>
        <rFont val="Noto Sans CJK SC"/>
        <family val="2"/>
      </rPr>
      <t xml:space="preserve">앱 버전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배포 관리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</si>
  <si>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신설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최소 지원 버전 설정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강제 업데이트 안내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점검</t>
    </r>
    <r>
      <rPr>
        <sz val="11"/>
        <color theme="1"/>
        <rFont val="Noto Sans"/>
        <family val="0"/>
        <charset val="1"/>
      </rPr>
      <t xml:space="preserve">(Maintenance) </t>
    </r>
    <r>
      <rPr>
        <sz val="11"/>
        <color theme="1"/>
        <rFont val="Noto Sans CJK SC"/>
        <family val="2"/>
      </rPr>
      <t xml:space="preserve">모드 공지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홈 배너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공지 노출 관리</t>
    </r>
  </si>
  <si>
    <r>
      <rPr>
        <sz val="11"/>
        <color theme="1"/>
        <rFont val="Noto Sans"/>
        <family val="0"/>
        <charset val="1"/>
      </rPr>
      <t xml:space="preserve">GET /api/v1/app-config — </t>
    </r>
    <r>
      <rPr>
        <sz val="11"/>
        <color theme="1"/>
        <rFont val="Noto Sans CJK SC"/>
        <family val="2"/>
      </rPr>
      <t xml:space="preserve">앱 부팅 시 조회하여 강제 업데이트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점검 화면 분기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스토어 배포 자체는 </t>
    </r>
    <r>
      <rPr>
        <sz val="11"/>
        <color theme="1"/>
        <rFont val="Noto Sans"/>
        <family val="0"/>
        <charset val="1"/>
      </rPr>
      <t xml:space="preserve">DSD </t>
    </r>
    <r>
      <rPr>
        <sz val="11"/>
        <color theme="1"/>
        <rFont val="Noto Sans CJK SC"/>
        <family val="2"/>
      </rPr>
      <t xml:space="preserve">보유 계정 권한 위임 필요</t>
    </r>
    <r>
      <rPr>
        <sz val="11"/>
        <color theme="1"/>
        <rFont val="Noto Sans"/>
        <family val="0"/>
        <charset val="1"/>
      </rPr>
      <t xml:space="preserve">(S-5)</t>
    </r>
  </si>
  <si>
    <r>
      <rPr>
        <sz val="11"/>
        <color theme="1"/>
        <rFont val="Noto Sans"/>
        <family val="0"/>
        <charset val="1"/>
      </rPr>
      <t xml:space="preserve">app_configs(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), notices</t>
    </r>
  </si>
  <si>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A-1 / 12.</t>
    </r>
    <r>
      <rPr>
        <sz val="11"/>
        <color theme="1"/>
        <rFont val="Noto Sans CJK SC"/>
        <family val="2"/>
      </rPr>
      <t xml:space="preserve">배포</t>
    </r>
  </si>
  <si>
    <t xml:space="preserve">#14(S-5)</t>
  </si>
  <si>
    <t xml:space="preserve">F-4.9-2</t>
  </si>
  <si>
    <r>
      <rPr>
        <sz val="11"/>
        <color theme="1"/>
        <rFont val="Noto Sans CJK SC"/>
        <family val="2"/>
      </rPr>
      <t xml:space="preserve">수업 시간표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이동수업 관리</t>
    </r>
  </si>
  <si>
    <r>
      <rPr>
        <sz val="11"/>
        <color theme="1"/>
        <rFont val="Noto Sans CJK SC"/>
        <family val="2"/>
      </rPr>
      <t xml:space="preserve">신규개발</t>
    </r>
    <r>
      <rPr>
        <sz val="11"/>
        <color theme="1"/>
        <rFont val="Noto Sans"/>
        <family val="0"/>
        <charset val="1"/>
      </rPr>
      <t xml:space="preserve">-</t>
    </r>
    <r>
      <rPr>
        <sz val="11"/>
        <color theme="1"/>
        <rFont val="Noto Sans CJK SC"/>
        <family val="2"/>
      </rPr>
      <t xml:space="preserve">요구사항신규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회신반영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</si>
  <si>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반별 수업 시간표 편성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조회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출력 및 이동수업 관리</t>
    </r>
    <r>
      <rPr>
        <sz val="11"/>
        <color theme="1"/>
        <rFont val="Noto Sans"/>
        <family val="0"/>
        <charset val="1"/>
      </rPr>
      <t xml:space="preserve">. (DSA </t>
    </r>
    <r>
      <rPr>
        <sz val="11"/>
        <color theme="1"/>
        <rFont val="Noto Sans CJK SC"/>
        <family val="2"/>
      </rPr>
      <t xml:space="preserve">교무업무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시간표</t>
    </r>
    <r>
      <rPr>
        <sz val="11"/>
        <color theme="1"/>
        <rFont val="Noto Sans"/>
        <family val="0"/>
        <charset val="1"/>
      </rPr>
      <t xml:space="preserve">,</t>
    </r>
    <r>
      <rPr>
        <sz val="11"/>
        <color theme="1"/>
        <rFont val="Noto Sans CJK SC"/>
        <family val="2"/>
      </rPr>
      <t xml:space="preserve">이동수업 </t>
    </r>
    <r>
      <rPr>
        <sz val="11"/>
        <color theme="1"/>
        <rFont val="Noto Sans"/>
        <family val="0"/>
        <charset val="1"/>
      </rPr>
      <t xml:space="preserve">= </t>
    </r>
    <r>
      <rPr>
        <sz val="11"/>
        <color theme="1"/>
        <rFont val="Noto Sans CJK SC"/>
        <family val="2"/>
      </rPr>
      <t xml:space="preserve">기능확인 회신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사용</t>
    </r>
    <r>
      <rPr>
        <sz val="11"/>
        <color theme="1"/>
        <rFont val="Noto Sans"/>
        <family val="0"/>
        <charset val="1"/>
      </rPr>
      <t xml:space="preserve">')</t>
    </r>
  </si>
  <si>
    <r>
      <rPr>
        <sz val="11"/>
        <color theme="1"/>
        <rFont val="Noto Sans CJK SC"/>
        <family val="2"/>
      </rPr>
      <t xml:space="preserve">⚠확인필요</t>
    </r>
    <r>
      <rPr>
        <sz val="11"/>
        <color theme="1"/>
        <rFont val="Noto Sans"/>
        <family val="0"/>
        <charset val="1"/>
      </rPr>
      <t xml:space="preserve">(#49): </t>
    </r>
    <r>
      <rPr>
        <sz val="11"/>
        <color theme="1"/>
        <rFont val="Noto Sans CJK SC"/>
        <family val="2"/>
      </rPr>
      <t xml:space="preserve">시간표 관리 범위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교시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요일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과목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강의실 편성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이동수업 배정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운영팀 확정 후 설계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이동수업반 배정은 </t>
    </r>
    <r>
      <rPr>
        <sz val="11"/>
        <color theme="1"/>
        <rFont val="Noto Sans"/>
        <family val="0"/>
        <charset val="1"/>
      </rPr>
      <t xml:space="preserve">F-4.1-5</t>
    </r>
    <r>
      <rPr>
        <sz val="11"/>
        <color theme="1"/>
        <rFont val="Noto Sans CJK SC"/>
        <family val="2"/>
      </rPr>
      <t xml:space="preserve">와 연계</t>
    </r>
  </si>
  <si>
    <r>
      <rPr>
        <sz val="11"/>
        <color theme="1"/>
        <rFont val="Noto Sans"/>
        <family val="0"/>
        <charset val="1"/>
      </rPr>
      <t xml:space="preserve">timetables(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), class_assignments</t>
    </r>
  </si>
  <si>
    <r>
      <rPr>
        <sz val="11"/>
        <color theme="1"/>
        <rFont val="Noto Sans"/>
        <family val="0"/>
        <charset val="1"/>
      </rPr>
      <t xml:space="preserve">F-4.1-5 </t>
    </r>
    <r>
      <rPr>
        <sz val="11"/>
        <color theme="1"/>
        <rFont val="Noto Sans CJK SC"/>
        <family val="2"/>
      </rPr>
      <t xml:space="preserve">반 배정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</si>
  <si>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교무업무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시간표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이동수업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회신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사용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확인 — </t>
    </r>
    <r>
      <rPr>
        <sz val="11"/>
        <color theme="1"/>
        <rFont val="Noto Sans"/>
        <family val="0"/>
        <charset val="1"/>
      </rPr>
      <t xml:space="preserve">v1.x </t>
    </r>
    <r>
      <rPr>
        <sz val="11"/>
        <color theme="1"/>
        <rFont val="Noto Sans CJK SC"/>
        <family val="2"/>
      </rPr>
      <t xml:space="preserve">요구사항 누락분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회신 대조 반영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</si>
  <si>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#49(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)</t>
    </r>
  </si>
  <si>
    <t xml:space="preserve">F-4.10-8</t>
  </si>
  <si>
    <r>
      <rPr>
        <sz val="11"/>
        <color theme="1"/>
        <rFont val="Noto Sans CJK SC"/>
        <family val="2"/>
      </rPr>
      <t xml:space="preserve">변경 이력 조회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금일 수정 이력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</si>
  <si>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당일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기간 데이터 변경 이력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사용자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시각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화면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변경 전후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조회</t>
    </r>
    <r>
      <rPr>
        <sz val="11"/>
        <color theme="1"/>
        <rFont val="Noto Sans"/>
        <family val="0"/>
        <charset val="1"/>
      </rPr>
      <t xml:space="preserve">. (DSA </t>
    </r>
    <r>
      <rPr>
        <sz val="11"/>
        <color theme="1"/>
        <rFont val="Noto Sans CJK SC"/>
        <family val="2"/>
      </rPr>
      <t xml:space="preserve">메모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기타</t>
    </r>
    <r>
      <rPr>
        <sz val="11"/>
        <color theme="1"/>
        <rFont val="Noto Sans"/>
        <family val="0"/>
        <charset val="1"/>
      </rPr>
      <t xml:space="preserve">&gt;</t>
    </r>
    <r>
      <rPr>
        <sz val="11"/>
        <color theme="1"/>
        <rFont val="Noto Sans CJK SC"/>
        <family val="2"/>
      </rPr>
      <t xml:space="preserve">금일 수정 이력 </t>
    </r>
    <r>
      <rPr>
        <sz val="11"/>
        <color theme="1"/>
        <rFont val="Noto Sans"/>
        <family val="0"/>
        <charset val="1"/>
      </rPr>
      <t xml:space="preserve">= </t>
    </r>
    <r>
      <rPr>
        <sz val="11"/>
        <color theme="1"/>
        <rFont val="Noto Sans CJK SC"/>
        <family val="2"/>
      </rPr>
      <t xml:space="preserve">회신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사용</t>
    </r>
    <r>
      <rPr>
        <sz val="11"/>
        <color theme="1"/>
        <rFont val="Noto Sans"/>
        <family val="0"/>
        <charset val="1"/>
      </rPr>
      <t xml:space="preserve">')</t>
    </r>
  </si>
  <si>
    <r>
      <rPr>
        <sz val="11"/>
        <color theme="1"/>
        <rFont val="Noto Sans CJK SC"/>
        <family val="2"/>
      </rPr>
      <t xml:space="preserve">감사컬럼</t>
    </r>
    <r>
      <rPr>
        <sz val="11"/>
        <color theme="1"/>
        <rFont val="Noto Sans"/>
        <family val="0"/>
        <charset val="1"/>
      </rPr>
      <t xml:space="preserve">(created_by/updated_by/modified_at) </t>
    </r>
    <r>
      <rPr>
        <sz val="11"/>
        <color theme="1"/>
        <rFont val="Noto Sans CJK SC"/>
        <family val="2"/>
      </rPr>
      <t xml:space="preserve">기반 조회 화면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일자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사용자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화면 필터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엑셀 </t>
    </r>
    <r>
      <rPr>
        <sz val="11"/>
        <color theme="1"/>
        <rFont val="Noto Sans"/>
        <family val="0"/>
        <charset val="1"/>
      </rPr>
      <t xml:space="preserve">Export. ⚠</t>
    </r>
    <r>
      <rPr>
        <sz val="11"/>
        <color theme="1"/>
        <rFont val="Noto Sans CJK SC"/>
        <family val="2"/>
      </rPr>
      <t xml:space="preserve">실현 방식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전용 화면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공통 감사로그 뷰어</t>
    </r>
    <r>
      <rPr>
        <sz val="11"/>
        <color theme="1"/>
        <rFont val="Noto Sans"/>
        <family val="0"/>
        <charset val="1"/>
      </rPr>
      <t xml:space="preserve">) #50 </t>
    </r>
    <r>
      <rPr>
        <sz val="11"/>
        <color theme="1"/>
        <rFont val="Noto Sans CJK SC"/>
        <family val="2"/>
      </rPr>
      <t xml:space="preserve">확정</t>
    </r>
  </si>
  <si>
    <r>
      <rPr>
        <sz val="11"/>
        <color theme="1"/>
        <rFont val="Noto Sans"/>
        <family val="0"/>
        <charset val="1"/>
      </rPr>
      <t xml:space="preserve">audit_logs(</t>
    </r>
    <r>
      <rPr>
        <sz val="11"/>
        <color theme="1"/>
        <rFont val="Noto Sans CJK SC"/>
        <family val="2"/>
      </rPr>
      <t xml:space="preserve">가칭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</si>
  <si>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전 화면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감사로그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비기능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</si>
  <si>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DSA '</t>
    </r>
    <r>
      <rPr>
        <sz val="11"/>
        <color theme="1"/>
        <rFont val="Noto Sans CJK SC"/>
        <family val="2"/>
      </rPr>
      <t xml:space="preserve">메모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기타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금일 수정 이력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회신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사용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확인 — </t>
    </r>
    <r>
      <rPr>
        <sz val="11"/>
        <color theme="1"/>
        <rFont val="Noto Sans"/>
        <family val="0"/>
        <charset val="1"/>
      </rPr>
      <t xml:space="preserve">v1.x </t>
    </r>
    <r>
      <rPr>
        <sz val="11"/>
        <color theme="1"/>
        <rFont val="Noto Sans CJK SC"/>
        <family val="2"/>
      </rPr>
      <t xml:space="preserve">요구사항 누락분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회신 대조 반영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</si>
  <si>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#50(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)</t>
    </r>
  </si>
  <si>
    <t xml:space="preserve">F-4.11-X1</t>
  </si>
  <si>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폐기</t>
    </r>
    <r>
      <rPr>
        <sz val="11"/>
        <color theme="1"/>
        <rFont val="Noto Sans"/>
        <family val="0"/>
        <charset val="1"/>
      </rPr>
      <t xml:space="preserve">] </t>
    </r>
    <r>
      <rPr>
        <sz val="11"/>
        <color theme="1"/>
        <rFont val="Noto Sans CJK SC"/>
        <family val="2"/>
      </rPr>
      <t xml:space="preserve">이력 보존</t>
    </r>
  </si>
  <si>
    <t xml:space="preserve">영단어 시험 관리</t>
  </si>
  <si>
    <r>
      <rPr>
        <sz val="11"/>
        <color theme="1"/>
        <rFont val="Noto Sans CJK SC"/>
        <family val="2"/>
      </rPr>
      <t xml:space="preserve">폐기</t>
    </r>
    <r>
      <rPr>
        <sz val="11"/>
        <color theme="1"/>
        <rFont val="Noto Sans"/>
        <family val="0"/>
        <charset val="1"/>
      </rPr>
      <t xml:space="preserve">(0803)</t>
    </r>
  </si>
  <si>
    <r>
      <rPr>
        <sz val="11"/>
        <color theme="1"/>
        <rFont val="Noto Sans CJK SC"/>
        <family val="2"/>
      </rPr>
      <t xml:space="preserve">영단어 시험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디랩 콘텐츠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생성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배포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응시결과 — </t>
    </r>
    <r>
      <rPr>
        <sz val="11"/>
        <color theme="1"/>
        <rFont val="Noto Sans"/>
        <family val="0"/>
        <charset val="1"/>
      </rPr>
      <t xml:space="preserve">0803 </t>
    </r>
    <r>
      <rPr>
        <sz val="11"/>
        <color theme="1"/>
        <rFont val="Noto Sans CJK SC"/>
        <family val="2"/>
      </rPr>
      <t xml:space="preserve">전면 폐기</t>
    </r>
  </si>
  <si>
    <r>
      <rPr>
        <sz val="11"/>
        <color theme="1"/>
        <rFont val="Noto Sans"/>
        <family val="0"/>
        <charset val="1"/>
      </rPr>
      <t xml:space="preserve">vocab_tests / vocab_test_results API·</t>
    </r>
    <r>
      <rPr>
        <sz val="11"/>
        <color theme="1"/>
        <rFont val="Noto Sans CJK SC"/>
        <family val="2"/>
      </rPr>
      <t xml:space="preserve">스키마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화면 전량 삭제</t>
    </r>
    <r>
      <rPr>
        <sz val="11"/>
        <color theme="1"/>
        <rFont val="Noto Sans"/>
        <family val="0"/>
        <charset val="1"/>
      </rPr>
      <t xml:space="preserve">. Daily Report '</t>
    </r>
    <r>
      <rPr>
        <sz val="11"/>
        <color theme="1"/>
        <rFont val="Noto Sans CJK SC"/>
        <family val="2"/>
      </rPr>
      <t xml:space="preserve">데일리테스트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원천은 </t>
    </r>
    <r>
      <rPr>
        <sz val="11"/>
        <color theme="1"/>
        <rFont val="Noto Sans"/>
        <family val="0"/>
        <charset val="1"/>
      </rPr>
      <t xml:space="preserve">F-4.11-1 </t>
    </r>
    <r>
      <rPr>
        <sz val="11"/>
        <color theme="1"/>
        <rFont val="Noto Sans CJK SC"/>
        <family val="2"/>
      </rPr>
      <t xml:space="preserve">데일리루틴 검수결과로 대체</t>
    </r>
  </si>
  <si>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삭제</t>
    </r>
    <r>
      <rPr>
        <sz val="11"/>
        <color theme="1"/>
        <rFont val="Noto Sans"/>
        <family val="0"/>
        <charset val="1"/>
      </rPr>
      <t xml:space="preserve">) vocab_tests, vocab_test_results</t>
    </r>
  </si>
  <si>
    <t xml:space="preserve">F-4.11-X2</t>
  </si>
  <si>
    <t xml:space="preserve">가족 채팅방</t>
  </si>
  <si>
    <r>
      <rPr>
        <sz val="11"/>
        <color theme="1"/>
        <rFont val="Noto Sans CJK SC"/>
        <family val="2"/>
      </rPr>
      <t xml:space="preserve">학부모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관리자 공동 그룹 스레드 — </t>
    </r>
    <r>
      <rPr>
        <sz val="11"/>
        <color theme="1"/>
        <rFont val="Noto Sans"/>
        <family val="0"/>
        <charset val="1"/>
      </rPr>
      <t xml:space="preserve">0803 </t>
    </r>
    <r>
      <rPr>
        <sz val="11"/>
        <color theme="1"/>
        <rFont val="Noto Sans CJK SC"/>
        <family val="2"/>
      </rPr>
      <t xml:space="preserve">폐기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학부모 최대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인 확정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</si>
  <si>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chat_threads.type 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Noto Sans"/>
        <family val="0"/>
        <charset val="1"/>
      </rPr>
      <t xml:space="preserve">FAMILY </t>
    </r>
    <r>
      <rPr>
        <sz val="11"/>
        <color theme="1"/>
        <rFont val="Noto Sans CJK SC"/>
        <family val="2"/>
      </rPr>
      <t xml:space="preserve">제거</t>
    </r>
    <r>
      <rPr>
        <sz val="11"/>
        <color theme="1"/>
        <rFont val="Noto Sans"/>
        <family val="0"/>
        <charset val="1"/>
      </rPr>
      <t xml:space="preserve">, DIRECT_1TO1</t>
    </r>
    <r>
      <rPr>
        <sz val="11"/>
        <color theme="1"/>
        <rFont val="Noto Sans CJK SC"/>
        <family val="2"/>
      </rPr>
      <t xml:space="preserve">만 유지</t>
    </r>
  </si>
  <si>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삭제</t>
    </r>
    <r>
      <rPr>
        <sz val="11"/>
        <color theme="1"/>
        <rFont val="Noto Sans"/>
        <family val="0"/>
        <charset val="1"/>
      </rPr>
      <t xml:space="preserve">) chat_threads.type=FAMILY</t>
    </r>
  </si>
  <si>
    <t xml:space="preserve">대분류</t>
  </si>
  <si>
    <r>
      <rPr>
        <b val="true"/>
        <sz val="11"/>
        <color rgb="FFFFFFFF"/>
        <rFont val="Noto Sans CJK SC"/>
        <family val="2"/>
      </rPr>
      <t xml:space="preserve">화면</t>
    </r>
    <r>
      <rPr>
        <b val="true"/>
        <sz val="11"/>
        <color rgb="FFFFFFFF"/>
        <rFont val="Noto San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기능명</t>
    </r>
  </si>
  <si>
    <t xml:space="preserve">사용자</t>
  </si>
  <si>
    <r>
      <rPr>
        <b val="true"/>
        <sz val="11"/>
        <color rgb="FFFFFFFF"/>
        <rFont val="Noto Sans CJK SC"/>
        <family val="2"/>
      </rPr>
      <t xml:space="preserve">연동 </t>
    </r>
    <r>
      <rPr>
        <b val="true"/>
        <sz val="11"/>
        <color rgb="FFFFFFFF"/>
        <rFont val="Noto Sans"/>
        <family val="0"/>
        <charset val="1"/>
      </rPr>
      <t xml:space="preserve">API(</t>
    </r>
    <r>
      <rPr>
        <b val="true"/>
        <sz val="11"/>
        <color rgb="FFFFFFFF"/>
        <rFont val="Noto Sans CJK SC"/>
        <family val="2"/>
      </rPr>
      <t xml:space="preserve">공통 서버</t>
    </r>
    <r>
      <rPr>
        <b val="true"/>
        <sz val="11"/>
        <color rgb="FFFFFFFF"/>
        <rFont val="Noto Sans"/>
        <family val="0"/>
        <charset val="1"/>
      </rPr>
      <t xml:space="preserve">)</t>
    </r>
  </si>
  <si>
    <t xml:space="preserve">A-1</t>
  </si>
  <si>
    <t xml:space="preserve">인증</t>
  </si>
  <si>
    <t xml:space="preserve">로그인</t>
  </si>
  <si>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학부모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</si>
  <si>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카카오 로그인 폐기 — 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학부모 모두 아이디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비밀번호 로그인으로 통일</t>
    </r>
  </si>
  <si>
    <r>
      <rPr>
        <sz val="11"/>
        <color theme="1"/>
        <rFont val="Noto Sans CJK SC"/>
        <family val="2"/>
      </rPr>
      <t xml:space="preserve">자체 </t>
    </r>
    <r>
      <rPr>
        <sz val="11"/>
        <color theme="1"/>
        <rFont val="Noto Sans"/>
        <family val="0"/>
        <charset val="1"/>
      </rPr>
      <t xml:space="preserve">JWT </t>
    </r>
    <r>
      <rPr>
        <sz val="11"/>
        <color theme="1"/>
        <rFont val="Noto Sans CJK SC"/>
        <family val="2"/>
      </rPr>
      <t xml:space="preserve">인증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서버 발급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기반 </t>
    </r>
    <r>
      <rPr>
        <sz val="11"/>
        <color theme="1"/>
        <rFont val="Noto Sans"/>
        <family val="0"/>
        <charset val="1"/>
      </rPr>
      <t xml:space="preserve">ID/PW → JWT(Access 1h / Refresh 7d). </t>
    </r>
    <r>
      <rPr>
        <sz val="11"/>
        <color theme="1"/>
        <rFont val="Noto Sans CJK SC"/>
        <family val="2"/>
      </rPr>
      <t xml:space="preserve">임시 비밀번호 최초 로그인 시 변경 강제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비밀번호 정책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로그인 실패 </t>
    </r>
    <r>
      <rPr>
        <sz val="11"/>
        <color theme="1"/>
        <rFont val="Noto Sans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회 계정 잠금</t>
    </r>
    <r>
      <rPr>
        <sz val="11"/>
        <color theme="1"/>
        <rFont val="Noto Sans"/>
        <family val="0"/>
        <charset val="1"/>
      </rPr>
      <t xml:space="preserve">(4</t>
    </r>
    <r>
      <rPr>
        <sz val="11"/>
        <color theme="1"/>
        <rFont val="Noto Sans CJK SC"/>
        <family val="2"/>
      </rPr>
      <t xml:space="preserve">시트 </t>
    </r>
    <r>
      <rPr>
        <sz val="11"/>
        <color theme="1"/>
        <rFont val="Noto Sans"/>
        <family val="0"/>
        <charset val="1"/>
      </rPr>
      <t xml:space="preserve">NF-05·NF-06). </t>
    </r>
    <r>
      <rPr>
        <sz val="11"/>
        <color theme="1"/>
        <rFont val="Noto Sans CJK SC"/>
        <family val="2"/>
      </rPr>
      <t xml:space="preserve">토큰은 </t>
    </r>
    <r>
      <rPr>
        <sz val="11"/>
        <color theme="1"/>
        <rFont val="Noto Sans"/>
        <family val="0"/>
        <charset val="1"/>
      </rPr>
      <t xml:space="preserve">flutter_secure_storage(Keychain/Keystore) </t>
    </r>
    <r>
      <rPr>
        <sz val="11"/>
        <color theme="1"/>
        <rFont val="Noto Sans CJK SC"/>
        <family val="2"/>
      </rPr>
      <t xml:space="preserve">보관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자동 로그인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생체 재인증은 옵션</t>
    </r>
  </si>
  <si>
    <t xml:space="preserve">POST /auth/login, POST /auth/refresh, GET /me, POST /push/token</t>
  </si>
  <si>
    <r>
      <rPr>
        <sz val="11"/>
        <color theme="1"/>
        <rFont val="Noto Sans"/>
        <family val="0"/>
        <charset val="1"/>
      </rPr>
      <t xml:space="preserve">F-4.12-1 </t>
    </r>
    <r>
      <rPr>
        <sz val="11"/>
        <color theme="1"/>
        <rFont val="Noto Sans CJK SC"/>
        <family val="2"/>
      </rPr>
      <t xml:space="preserve">앱 계정 관리</t>
    </r>
  </si>
  <si>
    <t xml:space="preserve">A-2</t>
  </si>
  <si>
    <r>
      <rPr>
        <sz val="11"/>
        <color theme="1"/>
        <rFont val="Noto Sans CJK SC"/>
        <family val="2"/>
      </rPr>
      <t xml:space="preserve">회원가입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온보딩 </t>
    </r>
    <r>
      <rPr>
        <sz val="11"/>
        <color theme="1"/>
        <rFont val="Noto Sans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단계</t>
    </r>
  </si>
  <si>
    <r>
      <rPr>
        <sz val="11"/>
        <color theme="1"/>
        <rFont val="Noto Sans CJK SC"/>
        <family val="2"/>
      </rPr>
      <t xml:space="preserve">학생 온보딩 상태 머신 </t>
    </r>
    <r>
      <rPr>
        <sz val="11"/>
        <color theme="1"/>
        <rFont val="Noto Sans"/>
        <family val="0"/>
        <charset val="1"/>
      </rPr>
      <t xml:space="preserve">REGISTERED → OT_DONE → PARENT_LINKED → SCHEDULE_SET → ACTIVE. </t>
    </r>
    <r>
      <rPr>
        <sz val="11"/>
        <color theme="1"/>
        <rFont val="Noto Sans CJK SC"/>
        <family val="2"/>
      </rPr>
      <t xml:space="preserve">각 단계 미완료 시 다음 단계로 강제 라우팅</t>
    </r>
  </si>
  <si>
    <r>
      <rPr>
        <sz val="11"/>
        <color theme="1"/>
        <rFont val="Noto Sans CJK SC"/>
        <family val="2"/>
      </rPr>
      <t xml:space="preserve">서버 </t>
    </r>
    <r>
      <rPr>
        <sz val="11"/>
        <color theme="1"/>
        <rFont val="Noto Sans"/>
        <family val="0"/>
        <charset val="1"/>
      </rPr>
      <t xml:space="preserve">students.onboarding_status</t>
    </r>
    <r>
      <rPr>
        <sz val="11"/>
        <color theme="1"/>
        <rFont val="Noto Sans CJK SC"/>
        <family val="2"/>
      </rPr>
      <t xml:space="preserve">가 단일 진실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앱은 상태에 따라 </t>
    </r>
    <r>
      <rPr>
        <sz val="11"/>
        <color theme="1"/>
        <rFont val="Noto Sans"/>
        <family val="0"/>
        <charset val="1"/>
      </rPr>
      <t xml:space="preserve">go_router </t>
    </r>
    <r>
      <rPr>
        <sz val="11"/>
        <color theme="1"/>
        <rFont val="Noto Sans CJK SC"/>
        <family val="2"/>
      </rPr>
      <t xml:space="preserve">분기</t>
    </r>
    <r>
      <rPr>
        <sz val="11"/>
        <color theme="1"/>
        <rFont val="Noto Sans"/>
        <family val="0"/>
        <charset val="1"/>
      </rPr>
      <t xml:space="preserve">. PARENT_LINKED = </t>
    </r>
    <r>
      <rPr>
        <sz val="11"/>
        <color theme="1"/>
        <rFont val="Noto Sans CJK SC"/>
        <family val="2"/>
      </rPr>
      <t xml:space="preserve">학생 연락처 기반 학부모 계정 연동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최대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인</t>
    </r>
    <r>
      <rPr>
        <sz val="11"/>
        <color theme="1"/>
        <rFont val="Noto Sans"/>
        <family val="0"/>
        <charset val="1"/>
      </rPr>
      <t xml:space="preserve">). SCHEDULE_SET = </t>
    </r>
    <r>
      <rPr>
        <sz val="11"/>
        <color theme="1"/>
        <rFont val="Noto Sans CJK SC"/>
        <family val="2"/>
      </rPr>
      <t xml:space="preserve">정기일정 최초 등록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신상기록부</t>
    </r>
    <r>
      <rPr>
        <sz val="11"/>
        <color theme="1"/>
        <rFont val="Noto Sans"/>
        <family val="0"/>
        <charset val="1"/>
      </rPr>
      <t xml:space="preserve">(A-17) </t>
    </r>
    <r>
      <rPr>
        <sz val="11"/>
        <color theme="1"/>
        <rFont val="Noto Sans CJK SC"/>
        <family val="2"/>
      </rPr>
      <t xml:space="preserve">작성이 등록 완료 조건
🟡 </t>
    </r>
    <r>
      <rPr>
        <sz val="11"/>
        <color theme="1"/>
        <rFont val="Noto Sans"/>
        <family val="0"/>
        <charset val="1"/>
      </rPr>
      <t xml:space="preserve">OT(</t>
    </r>
    <r>
      <rPr>
        <sz val="11"/>
        <color theme="1"/>
        <rFont val="Noto Sans CJK SC"/>
        <family val="2"/>
      </rPr>
      <t xml:space="preserve">대면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게이트 범위 — </t>
    </r>
    <r>
      <rPr>
        <sz val="11"/>
        <color theme="1"/>
        <rFont val="Noto Sans"/>
        <family val="0"/>
        <charset val="1"/>
      </rPr>
      <t xml:space="preserve">OT </t>
    </r>
    <r>
      <rPr>
        <sz val="11"/>
        <color theme="1"/>
        <rFont val="Noto Sans CJK SC"/>
        <family val="2"/>
      </rPr>
      <t xml:space="preserve">전 허용 기능 범위 미확정</t>
    </r>
    <r>
      <rPr>
        <sz val="11"/>
        <color theme="1"/>
        <rFont val="Noto Sans"/>
        <family val="0"/>
        <charset val="1"/>
      </rPr>
      <t xml:space="preserve">(I-24). </t>
    </r>
    <r>
      <rPr>
        <sz val="11"/>
        <color theme="1"/>
        <rFont val="Noto Sans CJK SC"/>
        <family val="2"/>
      </rPr>
      <t xml:space="preserve">초안</t>
    </r>
    <r>
      <rPr>
        <sz val="11"/>
        <color theme="1"/>
        <rFont val="Noto Sans"/>
        <family val="0"/>
        <charset val="1"/>
      </rPr>
      <t xml:space="preserve">: OT </t>
    </r>
    <r>
      <rPr>
        <sz val="11"/>
        <color theme="1"/>
        <rFont val="Noto Sans CJK SC"/>
        <family val="2"/>
      </rPr>
      <t xml:space="preserve">전 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공지만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나머지는 </t>
    </r>
    <r>
      <rPr>
        <sz val="11"/>
        <color theme="1"/>
        <rFont val="Noto Sans"/>
        <family val="0"/>
        <charset val="1"/>
      </rPr>
      <t xml:space="preserve">ACTIVE</t>
    </r>
    <r>
      <rPr>
        <sz val="11"/>
        <color theme="1"/>
        <rFont val="Noto Sans CJK SC"/>
        <family val="2"/>
      </rPr>
      <t xml:space="preserve">부터</t>
    </r>
  </si>
  <si>
    <t xml:space="preserve">POST /onboarding/link-parent, GET /me</t>
  </si>
  <si>
    <r>
      <rPr>
        <sz val="11"/>
        <color theme="1"/>
        <rFont val="Noto Sans"/>
        <family val="0"/>
        <charset val="1"/>
      </rPr>
      <t xml:space="preserve">F-4.12-1, F-4.11-8 </t>
    </r>
    <r>
      <rPr>
        <sz val="11"/>
        <color theme="1"/>
        <rFont val="Noto Sans CJK SC"/>
        <family val="2"/>
      </rPr>
      <t xml:space="preserve">신상기록부</t>
    </r>
  </si>
  <si>
    <t xml:space="preserve">A-3</t>
  </si>
  <si>
    <t xml:space="preserve">홈</t>
  </si>
  <si>
    <r>
      <rPr>
        <sz val="11"/>
        <color theme="1"/>
        <rFont val="Noto Sans CJK SC"/>
        <family val="2"/>
      </rPr>
      <t xml:space="preserve">홈 </t>
    </r>
    <r>
      <rPr>
        <sz val="11"/>
        <color theme="1"/>
        <rFont val="Noto Sans"/>
        <family val="0"/>
        <charset val="1"/>
      </rPr>
      <t xml:space="preserve">· Daily Report </t>
    </r>
    <r>
      <rPr>
        <sz val="11"/>
        <color theme="1"/>
        <rFont val="Noto Sans CJK SC"/>
        <family val="2"/>
      </rPr>
      <t xml:space="preserve">대시보드</t>
    </r>
  </si>
  <si>
    <t xml:space="preserve">학생</t>
  </si>
  <si>
    <r>
      <rPr>
        <sz val="11"/>
        <color theme="1"/>
        <rFont val="Noto Sans CJK SC"/>
        <family val="2"/>
      </rPr>
      <t xml:space="preserve">헤더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지점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이름</t>
    </r>
    <r>
      <rPr>
        <sz val="11"/>
        <color theme="1"/>
        <rFont val="Noto Sans"/>
        <family val="0"/>
        <charset val="1"/>
      </rPr>
      <t xml:space="preserve">·N</t>
    </r>
    <r>
      <rPr>
        <sz val="11"/>
        <color theme="1"/>
        <rFont val="Noto Sans CJK SC"/>
        <family val="2"/>
      </rPr>
      <t xml:space="preserve">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좌석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학번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다짐 한마디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순공 랭킹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전체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지점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출석 도넛</t>
    </r>
    <r>
      <rPr>
        <sz val="11"/>
        <color theme="1"/>
        <rFont val="Noto Sans"/>
        <family val="0"/>
        <charset val="1"/>
      </rPr>
      <t xml:space="preserve">%, </t>
    </r>
    <r>
      <rPr>
        <sz val="11"/>
        <color theme="1"/>
        <rFont val="Noto Sans CJK SC"/>
        <family val="2"/>
      </rPr>
      <t xml:space="preserve">데일리테스트 횟수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월 달력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순공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출결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질</t>
    </r>
    <r>
      <rPr>
        <sz val="11"/>
        <color theme="1"/>
        <rFont val="Noto Sans"/>
        <family val="0"/>
        <charset val="1"/>
      </rPr>
      <t xml:space="preserve">/R) → </t>
    </r>
    <r>
      <rPr>
        <sz val="11"/>
        <color theme="1"/>
        <rFont val="Noto Sans CJK SC"/>
        <family val="2"/>
      </rPr>
      <t xml:space="preserve">일자 탭 시 타임라인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진도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플래너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질의응답 기록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「학습 상담 상세보기」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「사유출결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벌점 현황」 버튼</t>
    </r>
  </si>
  <si>
    <r>
      <rPr>
        <sz val="11"/>
        <color theme="1"/>
        <rFont val="Noto Sans"/>
        <family val="0"/>
        <charset val="1"/>
      </rPr>
      <t xml:space="preserve">GET /daily-reports/{date} · /monthly, PATCH .../self-feedback. </t>
    </r>
    <r>
      <rPr>
        <sz val="11"/>
        <color theme="1"/>
        <rFont val="Noto Sans CJK SC"/>
        <family val="2"/>
      </rPr>
      <t xml:space="preserve">매일 밤 </t>
    </r>
    <r>
      <rPr>
        <sz val="11"/>
        <color theme="1"/>
        <rFont val="Noto Sans"/>
        <family val="0"/>
        <charset val="1"/>
      </rPr>
      <t xml:space="preserve">FCM </t>
    </r>
    <r>
      <rPr>
        <sz val="11"/>
        <color theme="1"/>
        <rFont val="Noto Sans CJK SC"/>
        <family val="2"/>
      </rPr>
      <t xml:space="preserve">요약 푸시 → 탭 시 상세 딥링크
▷</t>
    </r>
    <r>
      <rPr>
        <sz val="11"/>
        <color theme="1"/>
        <rFont val="Noto Sans"/>
        <family val="0"/>
        <charset val="1"/>
      </rPr>
      <t xml:space="preserve">[0803] '</t>
    </r>
    <r>
      <rPr>
        <sz val="11"/>
        <color theme="1"/>
        <rFont val="Noto Sans CJK SC"/>
        <family val="2"/>
      </rPr>
      <t xml:space="preserve">데일리테스트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원천 </t>
    </r>
    <r>
      <rPr>
        <sz val="11"/>
        <color theme="1"/>
        <rFont val="Noto Sans"/>
        <family val="0"/>
        <charset val="1"/>
      </rPr>
      <t xml:space="preserve">= </t>
    </r>
    <r>
      <rPr>
        <sz val="11"/>
        <color theme="1"/>
        <rFont val="Noto Sans CJK SC"/>
        <family val="2"/>
      </rPr>
      <t xml:space="preserve">데일리루틴 검수결과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영단어시험 폐기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진도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플래너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표시 방식은 보류</t>
    </r>
    <r>
      <rPr>
        <sz val="11"/>
        <color theme="1"/>
        <rFont val="Noto Sans"/>
        <family val="0"/>
        <charset val="1"/>
      </rPr>
      <t xml:space="preserve">(#43)</t>
    </r>
  </si>
  <si>
    <t xml:space="preserve">GET /api/v1/daily-reports/*, GET /study-time-rankings</t>
  </si>
  <si>
    <r>
      <rPr>
        <sz val="11"/>
        <color theme="1"/>
        <rFont val="Noto Sans"/>
        <family val="0"/>
        <charset val="1"/>
      </rPr>
      <t xml:space="preserve">F-4.11-6 Daily Report </t>
    </r>
    <r>
      <rPr>
        <sz val="11"/>
        <color theme="1"/>
        <rFont val="Noto Sans CJK SC"/>
        <family val="2"/>
      </rPr>
      <t xml:space="preserve">집계</t>
    </r>
  </si>
  <si>
    <t xml:space="preserve">#26(I-6), #43(I-23)</t>
  </si>
  <si>
    <t xml:space="preserve">A-4</t>
  </si>
  <si>
    <t xml:space="preserve">출결</t>
  </si>
  <si>
    <r>
      <rPr>
        <sz val="11"/>
        <color theme="1"/>
        <rFont val="Noto Sans CJK SC"/>
        <family val="2"/>
      </rPr>
      <t xml:space="preserve">출결 조회 </t>
    </r>
    <r>
      <rPr>
        <sz val="11"/>
        <color theme="1"/>
        <rFont val="Noto Sans"/>
        <family val="0"/>
        <charset val="1"/>
      </rPr>
      <t xml:space="preserve">· </t>
    </r>
    <r>
      <rPr>
        <sz val="11"/>
        <color theme="1"/>
        <rFont val="Noto Sans CJK SC"/>
        <family val="2"/>
      </rPr>
      <t xml:space="preserve">동적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태깅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</si>
  <si>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동적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출결 채택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앱에서 </t>
    </r>
    <r>
      <rPr>
        <sz val="11"/>
        <color theme="1"/>
        <rFont val="Noto Sans"/>
        <family val="0"/>
        <charset val="1"/>
      </rPr>
      <t xml:space="preserve">30~60</t>
    </r>
    <r>
      <rPr>
        <sz val="11"/>
        <color theme="1"/>
        <rFont val="Noto Sans CJK SC"/>
        <family val="2"/>
      </rPr>
      <t xml:space="preserve">초 유효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생성 → 키오스크 스캔</t>
    </r>
    <r>
      <rPr>
        <sz val="11"/>
        <color theme="1"/>
        <rFont val="Noto Sans"/>
        <family val="0"/>
        <charset val="1"/>
      </rPr>
      <t xml:space="preserve">. NFC/RFID </t>
    </r>
    <r>
      <rPr>
        <sz val="11"/>
        <color theme="1"/>
        <rFont val="Noto Sans CJK SC"/>
        <family val="2"/>
      </rPr>
      <t xml:space="preserve">물리 카드와 병행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카드 경로는 앱 미관여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일자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월 단위 출결 조회</t>
    </r>
  </si>
  <si>
    <r>
      <rPr>
        <sz val="11"/>
        <color theme="1"/>
        <rFont val="Noto Sans"/>
        <family val="0"/>
        <charset val="1"/>
      </rPr>
      <t xml:space="preserve">POST /attendance/qr-token → {token, expiresAt} → qr_flutter </t>
    </r>
    <r>
      <rPr>
        <sz val="11"/>
        <color theme="1"/>
        <rFont val="Noto Sans CJK SC"/>
        <family val="2"/>
      </rPr>
      <t xml:space="preserve">렌더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만료 카운트다운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자동 갱신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키오스크가 스캔 후 </t>
    </r>
    <r>
      <rPr>
        <sz val="11"/>
        <color theme="1"/>
        <rFont val="Noto Sans"/>
        <family val="0"/>
        <charset val="1"/>
      </rPr>
      <t xml:space="preserve">/webhooks/kiosk/attendance</t>
    </r>
    <r>
      <rPr>
        <sz val="11"/>
        <color theme="1"/>
        <rFont val="Noto Sans CJK SC"/>
        <family val="2"/>
      </rPr>
      <t xml:space="preserve">로 전송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서버가 토큰 검증</t>
    </r>
    <r>
      <rPr>
        <sz val="11"/>
        <color theme="1"/>
        <rFont val="Noto Sans"/>
        <family val="0"/>
        <charset val="1"/>
      </rPr>
      <t xml:space="preserve">. 🔴 </t>
    </r>
    <r>
      <rPr>
        <sz val="11"/>
        <color theme="1"/>
        <rFont val="Noto Sans CJK SC"/>
        <family val="2"/>
      </rPr>
      <t xml:space="preserve">토큰 검증 방식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페이로드는 </t>
    </r>
    <r>
      <rPr>
        <sz val="11"/>
        <color theme="1"/>
        <rFont val="Noto Sans"/>
        <family val="0"/>
        <charset val="1"/>
      </rPr>
      <t xml:space="preserve">D-2 </t>
    </r>
    <r>
      <rPr>
        <sz val="11"/>
        <color theme="1"/>
        <rFont val="Noto Sans CJK SC"/>
        <family val="2"/>
      </rPr>
      <t xml:space="preserve">확정 후 확정 →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토큰 인터페이스 추상화 선행</t>
    </r>
  </si>
  <si>
    <t xml:space="preserve">POST /api/v1/attendance/qr-token, GET /attendance?from&amp;to</t>
  </si>
  <si>
    <r>
      <rPr>
        <sz val="11"/>
        <color theme="1"/>
        <rFont val="Noto Sans"/>
        <family val="0"/>
        <charset val="1"/>
      </rPr>
      <t xml:space="preserve">F-4.3-1 </t>
    </r>
    <r>
      <rPr>
        <sz val="11"/>
        <color theme="1"/>
        <rFont val="Noto Sans CJK SC"/>
        <family val="2"/>
      </rPr>
      <t xml:space="preserve">출결 관리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키오스크</t>
    </r>
  </si>
  <si>
    <t xml:space="preserve">A-5</t>
  </si>
  <si>
    <r>
      <rPr>
        <sz val="11"/>
        <color theme="1"/>
        <rFont val="Noto Sans CJK SC"/>
        <family val="2"/>
      </rPr>
      <t xml:space="preserve">좌석 이탈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복귀 현황 표시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</si>
  <si>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사감 순찰 대체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키오스크에서 입력된 본인의 현재 위치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이탈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복귀 이력을 앱에서 조회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앱에는 신청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입력 기능 없음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조회 전용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</si>
  <si>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GET /seat-moves/me — </t>
    </r>
    <r>
      <rPr>
        <sz val="11"/>
        <color theme="1"/>
        <rFont val="Noto Sans CJK SC"/>
        <family val="2"/>
      </rPr>
      <t xml:space="preserve">현재 위치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당일 이동 이력 타임라인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실시간 갱신은 푸시 또는 폴링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좌석표 전체 뷰는 관리자 웹 전용</t>
    </r>
  </si>
  <si>
    <t xml:space="preserve">GET /api/v1/seat-moves/me</t>
  </si>
  <si>
    <r>
      <rPr>
        <sz val="11"/>
        <color theme="1"/>
        <rFont val="Noto Sans"/>
        <family val="0"/>
        <charset val="1"/>
      </rPr>
      <t xml:space="preserve">F-4.3-2 </t>
    </r>
    <r>
      <rPr>
        <sz val="11"/>
        <color theme="1"/>
        <rFont val="Noto Sans CJK SC"/>
        <family val="2"/>
      </rPr>
      <t xml:space="preserve">좌석 이탈 현황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키오스크</t>
    </r>
  </si>
  <si>
    <t xml:space="preserve">A-6</t>
  </si>
  <si>
    <t xml:space="preserve">신청</t>
  </si>
  <si>
    <t xml:space="preserve">사유 제출</t>
  </si>
  <si>
    <r>
      <rPr>
        <sz val="11"/>
        <color theme="1"/>
        <rFont val="Noto Sans CJK SC"/>
        <family val="2"/>
      </rPr>
      <t xml:space="preserve">결석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지각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조퇴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외출 사유를 당일 자정까지 제출 → 즉시 승인 요청 발송</t>
    </r>
  </si>
  <si>
    <r>
      <rPr>
        <sz val="11"/>
        <color theme="1"/>
        <rFont val="Noto Sans"/>
        <family val="0"/>
        <charset val="1"/>
      </rPr>
      <t xml:space="preserve">POST /absence-requests. </t>
    </r>
    <r>
      <rPr>
        <sz val="11"/>
        <color theme="1"/>
        <rFont val="Noto Sans CJK SC"/>
        <family val="2"/>
      </rPr>
      <t xml:space="preserve">벌점 확정 후 승인 불가 — </t>
    </r>
    <r>
      <rPr>
        <sz val="11"/>
        <color theme="1"/>
        <rFont val="Noto Sans"/>
        <family val="0"/>
        <charset val="1"/>
      </rPr>
      <t xml:space="preserve">is_penalty_finalized </t>
    </r>
    <r>
      <rPr>
        <sz val="11"/>
        <color theme="1"/>
        <rFont val="Noto Sans CJK SC"/>
        <family val="2"/>
      </rPr>
      <t xml:space="preserve">플래그로 버튼 비활성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확정 시점 정의 </t>
    </r>
    <r>
      <rPr>
        <sz val="11"/>
        <color theme="1"/>
        <rFont val="Noto Sans"/>
        <family val="0"/>
        <charset val="1"/>
      </rPr>
      <t xml:space="preserve">I-10). </t>
    </r>
    <r>
      <rPr>
        <sz val="11"/>
        <color theme="1"/>
        <rFont val="Noto Sans CJK SC"/>
        <family val="2"/>
      </rPr>
      <t xml:space="preserve">승인 주체는 </t>
    </r>
    <r>
      <rPr>
        <sz val="11"/>
        <color theme="1"/>
        <rFont val="Noto Sans"/>
        <family val="0"/>
        <charset val="1"/>
      </rPr>
      <t xml:space="preserve">approval_items.approver_type</t>
    </r>
    <r>
      <rPr>
        <sz val="11"/>
        <color theme="1"/>
        <rFont val="Noto Sans CJK SC"/>
        <family val="2"/>
      </rPr>
      <t xml:space="preserve">에 따라 동적 분기</t>
    </r>
  </si>
  <si>
    <t xml:space="preserve">POST /api/v1/absence-requests</t>
  </si>
  <si>
    <r>
      <rPr>
        <sz val="11"/>
        <color theme="1"/>
        <rFont val="Noto Sans"/>
        <family val="0"/>
        <charset val="1"/>
      </rPr>
      <t xml:space="preserve">F-4.1-6 </t>
    </r>
    <r>
      <rPr>
        <sz val="11"/>
        <color theme="1"/>
        <rFont val="Noto Sans CJK SC"/>
        <family val="2"/>
      </rPr>
      <t xml:space="preserve">사유 신청 관리</t>
    </r>
  </si>
  <si>
    <t xml:space="preserve">#30(I-10), #32(I-12)</t>
  </si>
  <si>
    <t xml:space="preserve">A-7</t>
  </si>
  <si>
    <t xml:space="preserve">정기일정 등록</t>
  </si>
  <si>
    <r>
      <rPr>
        <sz val="11"/>
        <color theme="1"/>
        <rFont val="Noto Sans CJK SC"/>
        <family val="2"/>
      </rPr>
      <t xml:space="preserve">매월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일 현강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과외 등 외부 일정을 월 단위로 등록 → 승인 후 벌점 미부여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관리자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담임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가 웹에서 대신 등록한 일정도 앱에서 조회 가능</t>
    </r>
  </si>
  <si>
    <r>
      <rPr>
        <sz val="11"/>
        <color theme="1"/>
        <rFont val="Noto Sans"/>
        <family val="0"/>
        <charset val="1"/>
      </rPr>
      <t xml:space="preserve">POST /schedules. </t>
    </r>
    <r>
      <rPr>
        <sz val="11"/>
        <color theme="1"/>
        <rFont val="Noto Sans CJK SC"/>
        <family val="2"/>
      </rPr>
      <t xml:space="preserve">등록 시간 대비 실제 출입 </t>
    </r>
    <r>
      <rPr>
        <sz val="11"/>
        <color theme="1"/>
        <rFont val="Noto Sans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 이상 차이 시 미인정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서버 판정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앱은 결과 표시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관리자 등록분과 학생 등록분 중복 처리 규칙 필요</t>
    </r>
    <r>
      <rPr>
        <sz val="11"/>
        <color theme="1"/>
        <rFont val="Noto Sans"/>
        <family val="0"/>
        <charset val="1"/>
      </rPr>
      <t xml:space="preserve">(#48)</t>
    </r>
  </si>
  <si>
    <t xml:space="preserve">POST/GET /api/v1/schedules</t>
  </si>
  <si>
    <r>
      <rPr>
        <sz val="11"/>
        <color theme="1"/>
        <rFont val="Noto Sans"/>
        <family val="0"/>
        <charset val="1"/>
      </rPr>
      <t xml:space="preserve">F-4.1-7 </t>
    </r>
    <r>
      <rPr>
        <sz val="11"/>
        <color theme="1"/>
        <rFont val="Noto Sans CJK SC"/>
        <family val="2"/>
      </rPr>
      <t xml:space="preserve">정기일정 관리</t>
    </r>
  </si>
  <si>
    <t xml:space="preserve">A-8</t>
  </si>
  <si>
    <t xml:space="preserve">방화벽 해제 신청</t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</si>
  <si>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신규 편입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해제 시간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최대 </t>
    </r>
    <r>
      <rPr>
        <sz val="11"/>
        <color theme="1"/>
        <rFont val="Noto Sans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사유 입력 → 승인 → </t>
    </r>
    <r>
      <rPr>
        <sz val="11"/>
        <color theme="1"/>
        <rFont val="Noto Sans"/>
        <family val="0"/>
        <charset val="1"/>
      </rPr>
      <t xml:space="preserve">Nebula </t>
    </r>
    <r>
      <rPr>
        <sz val="11"/>
        <color theme="1"/>
        <rFont val="Noto Sans CJK SC"/>
        <family val="2"/>
      </rPr>
      <t xml:space="preserve">자동 해제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앱에서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해제됨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종료됨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잔여시간 표시</t>
    </r>
  </si>
  <si>
    <r>
      <rPr>
        <sz val="11"/>
        <color theme="1"/>
        <rFont val="Noto Sans"/>
        <family val="0"/>
        <charset val="1"/>
      </rPr>
      <t xml:space="preserve">POST /firewall/unlock-requests {hours(≤5), reason} → </t>
    </r>
    <r>
      <rPr>
        <sz val="11"/>
        <color theme="1"/>
        <rFont val="Noto Sans CJK SC"/>
        <family val="2"/>
      </rPr>
      <t xml:space="preserve">승인 라우팅 → 상태 폴링 또는 푸시 수신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위반 </t>
    </r>
    <r>
      <rPr>
        <sz val="11"/>
        <color theme="1"/>
        <rFont val="Noto Sans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회 적발 시 </t>
    </r>
    <r>
      <rPr>
        <sz val="11"/>
        <color theme="1"/>
        <rFont val="Noto Sans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주 신청 제한 안내</t>
    </r>
    <r>
      <rPr>
        <sz val="11"/>
        <color theme="1"/>
        <rFont val="Noto Sans"/>
        <family val="0"/>
        <charset val="1"/>
      </rPr>
      <t xml:space="preserve">. 🔴 Nebula </t>
    </r>
    <r>
      <rPr>
        <sz val="11"/>
        <color theme="1"/>
        <rFont val="Noto Sans CJK SC"/>
        <family val="2"/>
      </rPr>
      <t xml:space="preserve">제어 단위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단말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정책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에 따라 대상 표시 </t>
    </r>
    <r>
      <rPr>
        <sz val="11"/>
        <color theme="1"/>
        <rFont val="Noto Sans"/>
        <family val="0"/>
        <charset val="1"/>
      </rPr>
      <t xml:space="preserve">UX </t>
    </r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(E-1)</t>
    </r>
  </si>
  <si>
    <t xml:space="preserve">POST /api/v1/firewall/unlock-requests, GET .../me</t>
  </si>
  <si>
    <r>
      <rPr>
        <sz val="11"/>
        <color theme="1"/>
        <rFont val="Noto Sans"/>
        <family val="0"/>
        <charset val="1"/>
      </rPr>
      <t xml:space="preserve">F-4.11-10 </t>
    </r>
    <r>
      <rPr>
        <sz val="11"/>
        <color theme="1"/>
        <rFont val="Noto Sans CJK SC"/>
        <family val="2"/>
      </rPr>
      <t xml:space="preserve">방화벽 해제 관리</t>
    </r>
  </si>
  <si>
    <t xml:space="preserve">A-9</t>
  </si>
  <si>
    <t xml:space="preserve">서비스</t>
  </si>
  <si>
    <r>
      <rPr>
        <sz val="11"/>
        <color theme="1"/>
        <rFont val="Noto Sans CJK SC"/>
        <family val="2"/>
      </rPr>
      <t xml:space="preserve">급식 신청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결제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취소</t>
    </r>
  </si>
  <si>
    <r>
      <rPr>
        <sz val="11"/>
        <color theme="1"/>
        <rFont val="Noto Sans CJK SC"/>
        <family val="2"/>
      </rPr>
      <t xml:space="preserve">월말에 다음 달 한 달치 일괄 신청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달력 </t>
    </r>
    <r>
      <rPr>
        <sz val="11"/>
        <color theme="1"/>
        <rFont val="Noto Sans"/>
        <family val="0"/>
        <charset val="1"/>
      </rPr>
      <t xml:space="preserve">UI, </t>
    </r>
    <r>
      <rPr>
        <sz val="11"/>
        <color theme="1"/>
        <rFont val="Noto Sans CJK SC"/>
        <family val="2"/>
      </rPr>
      <t xml:space="preserve">주말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공휴일 비활성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카드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가상계좌 결제</t>
    </r>
    <r>
      <rPr>
        <sz val="11"/>
        <color theme="1"/>
        <rFont val="Noto Sans"/>
        <family val="0"/>
        <charset val="1"/>
      </rPr>
      <t xml:space="preserve">, 3</t>
    </r>
    <r>
      <rPr>
        <sz val="11"/>
        <color theme="1"/>
        <rFont val="Noto Sans CJK SC"/>
        <family val="2"/>
      </rPr>
      <t xml:space="preserve">일 전까지 앱 취소</t>
    </r>
    <r>
      <rPr>
        <sz val="11"/>
        <color theme="1"/>
        <rFont val="Noto Sans"/>
        <family val="0"/>
        <charset val="1"/>
      </rPr>
      <t xml:space="preserve">(PG </t>
    </r>
    <r>
      <rPr>
        <sz val="11"/>
        <color theme="1"/>
        <rFont val="Noto Sans CJK SC"/>
        <family val="2"/>
      </rPr>
      <t xml:space="preserve">자동환불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</si>
  <si>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GET /meals/menu?month → </t>
    </r>
    <r>
      <rPr>
        <sz val="11"/>
        <color theme="1"/>
        <rFont val="Noto Sans CJK SC"/>
        <family val="2"/>
      </rPr>
      <t xml:space="preserve">서버 </t>
    </r>
    <r>
      <rPr>
        <sz val="11"/>
        <color theme="1"/>
        <rFont val="Noto Sans"/>
        <family val="0"/>
        <charset val="1"/>
      </rPr>
      <t xml:space="preserve">mealPolicy </t>
    </r>
    <r>
      <rPr>
        <sz val="11"/>
        <color theme="1"/>
        <rFont val="Noto Sans CJK SC"/>
        <family val="2"/>
      </rPr>
      <t xml:space="preserve">기준 급식 가능일 렌더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앱 자체 판정 금지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요일 패턴 선택 보조 </t>
    </r>
    <r>
      <rPr>
        <sz val="11"/>
        <color theme="1"/>
        <rFont val="Noto Sans"/>
        <family val="0"/>
        <charset val="1"/>
      </rPr>
      <t xml:space="preserve">UI → </t>
    </r>
    <r>
      <rPr>
        <sz val="11"/>
        <color theme="1"/>
        <rFont val="Noto Sans CJK SC"/>
        <family val="2"/>
      </rPr>
      <t xml:space="preserve">실제 일자 전개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결제는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결제창</t>
    </r>
    <r>
      <rPr>
        <sz val="11"/>
        <color theme="1"/>
        <rFont val="Noto Sans"/>
        <family val="0"/>
        <charset val="1"/>
      </rPr>
      <t xml:space="preserve">(SDK/WebView) </t>
    </r>
    <r>
      <rPr>
        <sz val="11"/>
        <color theme="1"/>
        <rFont val="Noto Sans CJK SC"/>
        <family val="2"/>
      </rPr>
      <t xml:space="preserve">호출 후 서버 </t>
    </r>
    <r>
      <rPr>
        <sz val="11"/>
        <color theme="1"/>
        <rFont val="Noto Sans"/>
        <family val="0"/>
        <charset val="1"/>
      </rPr>
      <t xml:space="preserve">Webhook</t>
    </r>
    <r>
      <rPr>
        <sz val="11"/>
        <color theme="1"/>
        <rFont val="Noto Sans CJK SC"/>
        <family val="2"/>
      </rPr>
      <t xml:space="preserve">로 확정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앱 결과는 </t>
    </r>
    <r>
      <rPr>
        <sz val="11"/>
        <color theme="1"/>
        <rFont val="Noto Sans"/>
        <family val="0"/>
        <charset val="1"/>
      </rPr>
      <t xml:space="preserve">UX</t>
    </r>
    <r>
      <rPr>
        <sz val="11"/>
        <color theme="1"/>
        <rFont val="Noto Sans CJK SC"/>
        <family val="2"/>
      </rPr>
      <t xml:space="preserve">용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가상계좌는 계좌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만료 표시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입금 완료 푸시 수신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결제 </t>
    </r>
    <r>
      <rPr>
        <sz val="11"/>
        <color theme="1"/>
        <rFont val="Noto Sans"/>
        <family val="0"/>
        <charset val="1"/>
      </rPr>
      <t xml:space="preserve">POST</t>
    </r>
    <r>
      <rPr>
        <sz val="11"/>
        <color theme="1"/>
        <rFont val="Noto Sans CJK SC"/>
        <family val="2"/>
      </rPr>
      <t xml:space="preserve">는 재시도 제외 </t>
    </r>
    <r>
      <rPr>
        <sz val="11"/>
        <color theme="1"/>
        <rFont val="Noto Sans"/>
        <family val="0"/>
        <charset val="1"/>
      </rPr>
      <t xml:space="preserve">+ Idempotency-Key
▷[0803] </t>
    </r>
    <r>
      <rPr>
        <sz val="11"/>
        <color theme="1"/>
        <rFont val="Noto Sans CJK SC"/>
        <family val="2"/>
      </rPr>
      <t xml:space="preserve">디랩 자체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단일 연동으로 확정</t>
    </r>
  </si>
  <si>
    <t xml:space="preserve">GET /api/v1/meals/menu, POST /meals/orders, DELETE /meals/orders/{id}/items/{itemId}</t>
  </si>
  <si>
    <r>
      <rPr>
        <sz val="11"/>
        <color theme="1"/>
        <rFont val="Noto Sans"/>
        <family val="0"/>
        <charset val="1"/>
      </rPr>
      <t xml:space="preserve">F-4.5 </t>
    </r>
    <r>
      <rPr>
        <sz val="11"/>
        <color theme="1"/>
        <rFont val="Noto Sans CJK SC"/>
        <family val="2"/>
      </rPr>
      <t xml:space="preserve">급식 관리</t>
    </r>
  </si>
  <si>
    <t xml:space="preserve">#33(I-13)</t>
  </si>
  <si>
    <t xml:space="preserve">A-10</t>
  </si>
  <si>
    <t xml:space="preserve">학습</t>
  </si>
  <si>
    <r>
      <rPr>
        <sz val="11"/>
        <color theme="1"/>
        <rFont val="Noto Sans CJK SC"/>
        <family val="2"/>
      </rPr>
      <t xml:space="preserve">성적 조회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회차별 추이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</si>
  <si>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과목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국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영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한국사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탐</t>
    </r>
    <r>
      <rPr>
        <sz val="11"/>
        <color theme="1"/>
        <rFont val="Noto Sans"/>
        <family val="0"/>
        <charset val="1"/>
      </rPr>
      <t xml:space="preserve">1·</t>
    </r>
    <r>
      <rPr>
        <sz val="11"/>
        <color theme="1"/>
        <rFont val="Noto Sans CJK SC"/>
        <family val="2"/>
      </rPr>
      <t xml:space="preserve">탐</t>
    </r>
    <r>
      <rPr>
        <sz val="11"/>
        <color theme="1"/>
        <rFont val="Noto Sans"/>
        <family val="0"/>
        <charset val="1"/>
      </rPr>
      <t xml:space="preserve">2) </t>
    </r>
    <r>
      <rPr>
        <sz val="11"/>
        <color theme="1"/>
        <rFont val="Noto Sans CJK SC"/>
        <family val="2"/>
      </rPr>
      <t xml:space="preserve">회차별 추이 그래프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지표 </t>
    </r>
    <r>
      <rPr>
        <sz val="11"/>
        <color theme="1"/>
        <rFont val="Noto Sans"/>
        <family val="0"/>
        <charset val="1"/>
      </rPr>
      <t xml:space="preserve">= </t>
    </r>
    <r>
      <rPr>
        <sz val="11"/>
        <color theme="1"/>
        <rFont val="Noto Sans CJK SC"/>
        <family val="2"/>
      </rPr>
      <t xml:space="preserve">원점수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표준점수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백분위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등급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상세 분석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단원별 정답률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전국 대비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은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담임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에서만 표시</t>
    </r>
  </si>
  <si>
    <r>
      <rPr>
        <sz val="11"/>
        <color theme="1"/>
        <rFont val="Noto Sans"/>
        <family val="0"/>
        <charset val="1"/>
      </rPr>
      <t xml:space="preserve">GET /scores/me → fl_chart </t>
    </r>
    <r>
      <rPr>
        <sz val="11"/>
        <color theme="1"/>
        <rFont val="Noto Sans CJK SC"/>
        <family val="2"/>
      </rPr>
      <t xml:space="preserve">라인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성적은 민감정보 — 로컬 캐시 최소화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암호화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로그 미기록</t>
    </r>
    <r>
      <rPr>
        <sz val="11"/>
        <color theme="1"/>
        <rFont val="Noto Sans"/>
        <family val="0"/>
        <charset val="1"/>
      </rPr>
      <t xml:space="preserve">(4</t>
    </r>
    <r>
      <rPr>
        <sz val="11"/>
        <color theme="1"/>
        <rFont val="Noto Sans CJK SC"/>
        <family val="2"/>
      </rPr>
      <t xml:space="preserve">시트 </t>
    </r>
    <r>
      <rPr>
        <sz val="11"/>
        <color theme="1"/>
        <rFont val="Noto Sans"/>
        <family val="0"/>
        <charset val="1"/>
      </rPr>
      <t xml:space="preserve">NF-10)</t>
    </r>
  </si>
  <si>
    <t xml:space="preserve">GET /api/v1/scores/me</t>
  </si>
  <si>
    <r>
      <rPr>
        <sz val="11"/>
        <color theme="1"/>
        <rFont val="Noto Sans"/>
        <family val="0"/>
        <charset val="1"/>
      </rPr>
      <t xml:space="preserve">F-4.6-1 </t>
    </r>
    <r>
      <rPr>
        <sz val="11"/>
        <color theme="1"/>
        <rFont val="Noto Sans CJK SC"/>
        <family val="2"/>
      </rPr>
      <t xml:space="preserve">성적 관리</t>
    </r>
  </si>
  <si>
    <t xml:space="preserve">#16(E-2), #28(I-8)</t>
  </si>
  <si>
    <t xml:space="preserve">A-11</t>
  </si>
  <si>
    <t xml:space="preserve">데일리 루틴 표시</t>
  </si>
  <si>
    <r>
      <rPr>
        <sz val="11"/>
        <color theme="1"/>
        <rFont val="Noto Sans CJK SC"/>
        <family val="2"/>
      </rPr>
      <t xml:space="preserve">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학습 화면에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오늘의 루틴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테스트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표시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권장 항목 강조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조회 전용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등록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채점은 교사 웹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</si>
  <si>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GET /routines/today. </t>
    </r>
    <r>
      <rPr>
        <sz val="11"/>
        <color theme="1"/>
        <rFont val="Noto Sans CJK SC"/>
        <family val="2"/>
      </rPr>
      <t xml:space="preserve">학생 앱에 채점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입력 </t>
    </r>
    <r>
      <rPr>
        <sz val="11"/>
        <color theme="1"/>
        <rFont val="Noto Sans"/>
        <family val="0"/>
        <charset val="1"/>
      </rPr>
      <t xml:space="preserve">UI</t>
    </r>
    <r>
      <rPr>
        <sz val="11"/>
        <color theme="1"/>
        <rFont val="Noto Sans CJK SC"/>
        <family val="2"/>
      </rPr>
      <t xml:space="preserve">를 만들지 않음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오프라인 시험지 기반 교사 검수 구조</t>
    </r>
    <r>
      <rPr>
        <sz val="11"/>
        <color theme="1"/>
        <rFont val="Noto Sans"/>
        <family val="0"/>
        <charset val="1"/>
      </rPr>
      <t xml:space="preserve">)</t>
    </r>
  </si>
  <si>
    <t xml:space="preserve">GET /api/v1/routines/today</t>
  </si>
  <si>
    <r>
      <rPr>
        <sz val="11"/>
        <color theme="1"/>
        <rFont val="Noto Sans"/>
        <family val="0"/>
        <charset val="1"/>
      </rPr>
      <t xml:space="preserve">F-4.11-1 </t>
    </r>
    <r>
      <rPr>
        <sz val="11"/>
        <color theme="1"/>
        <rFont val="Noto Sans CJK SC"/>
        <family val="2"/>
      </rPr>
      <t xml:space="preserve">데일리 루틴 관리</t>
    </r>
  </si>
  <si>
    <t xml:space="preserve">A-12</t>
  </si>
  <si>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일 학습 계획</t>
    </r>
  </si>
  <si>
    <r>
      <rPr>
        <sz val="11"/>
        <color theme="1"/>
        <rFont val="Noto Sans CJK SC"/>
        <family val="2"/>
      </rPr>
      <t xml:space="preserve">주간 </t>
    </r>
    <r>
      <rPr>
        <sz val="11"/>
        <color theme="1"/>
        <rFont val="Noto Sans"/>
        <family val="0"/>
        <charset val="1"/>
      </rPr>
      <t xml:space="preserve">= </t>
    </r>
    <r>
      <rPr>
        <sz val="11"/>
        <color theme="1"/>
        <rFont val="Noto Sans CJK SC"/>
        <family val="2"/>
      </rPr>
      <t xml:space="preserve">교시</t>
    </r>
    <r>
      <rPr>
        <sz val="11"/>
        <color theme="1"/>
        <rFont val="Noto Sans"/>
        <family val="0"/>
        <charset val="1"/>
      </rPr>
      <t xml:space="preserve">×</t>
    </r>
    <r>
      <rPr>
        <sz val="11"/>
        <color theme="1"/>
        <rFont val="Noto Sans CJK SC"/>
        <family val="2"/>
      </rPr>
      <t xml:space="preserve">요일 그리드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셀 </t>
    </r>
    <r>
      <rPr>
        <sz val="11"/>
        <color theme="1"/>
        <rFont val="Noto Sans"/>
        <family val="0"/>
        <charset val="1"/>
      </rPr>
      <t xml:space="preserve">= </t>
    </r>
    <r>
      <rPr>
        <sz val="11"/>
        <color theme="1"/>
        <rFont val="Noto Sans CJK SC"/>
        <family val="2"/>
      </rPr>
      <t xml:space="preserve">과목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학습형태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교재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학습내용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일간 뷰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파란색 항목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교사 관리</t>
    </r>
    <r>
      <rPr>
        <sz val="11"/>
        <color theme="1"/>
        <rFont val="Noto Sans"/>
        <family val="0"/>
        <charset val="1"/>
      </rPr>
      <t xml:space="preserve">) = </t>
    </r>
    <r>
      <rPr>
        <sz val="11"/>
        <color theme="1"/>
        <rFont val="Noto Sans CJK SC"/>
        <family val="2"/>
      </rPr>
      <t xml:space="preserve">조회 전용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그 외 학생 입력</t>
    </r>
  </si>
  <si>
    <r>
      <rPr>
        <sz val="11"/>
        <color theme="1"/>
        <rFont val="Noto Sans"/>
        <family val="0"/>
        <charset val="1"/>
      </rPr>
      <t xml:space="preserve">GET /learning-plans?week=... — </t>
    </r>
    <r>
      <rPr>
        <sz val="11"/>
        <color theme="1"/>
        <rFont val="Noto Sans CJK SC"/>
        <family val="2"/>
      </rPr>
      <t xml:space="preserve">서버가 내려준 교시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시간대를 그대로 렌더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앱에서 교시 편집 불가</t>
    </r>
    <r>
      <rPr>
        <sz val="11"/>
        <color theme="1"/>
        <rFont val="Noto Sans"/>
        <family val="0"/>
        <charset val="1"/>
      </rPr>
      <t xml:space="preserve">). editableBy </t>
    </r>
    <r>
      <rPr>
        <sz val="11"/>
        <color theme="1"/>
        <rFont val="Noto Sans CJK SC"/>
        <family val="2"/>
      </rPr>
      <t xml:space="preserve">플래그로 셀 편집 가능 여부 분기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이행 표시 방식</t>
    </r>
    <r>
      <rPr>
        <sz val="11"/>
        <color theme="1"/>
        <rFont val="Noto Sans"/>
        <family val="0"/>
        <charset val="1"/>
      </rPr>
      <t xml:space="preserve">(%·</t>
    </r>
    <r>
      <rPr>
        <sz val="11"/>
        <color theme="1"/>
        <rFont val="Noto Sans CJK SC"/>
        <family val="2"/>
      </rPr>
      <t xml:space="preserve">드래그 </t>
    </r>
    <r>
      <rPr>
        <sz val="11"/>
        <color theme="1"/>
        <rFont val="Noto Sans"/>
        <family val="0"/>
        <charset val="1"/>
      </rPr>
      <t xml:space="preserve">vs ○△</t>
    </r>
    <r>
      <rPr>
        <sz val="11"/>
        <color theme="1"/>
        <rFont val="Noto Sans CJK SC"/>
        <family val="2"/>
      </rPr>
      <t xml:space="preserve">빈칸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확정 대기</t>
    </r>
    <r>
      <rPr>
        <sz val="11"/>
        <color theme="1"/>
        <rFont val="Noto Sans"/>
        <family val="0"/>
        <charset val="1"/>
      </rPr>
      <t xml:space="preserve">(#39)</t>
    </r>
  </si>
  <si>
    <t xml:space="preserve">GET /api/v1/learning-plans, PATCH /learning-plans/items/{id}</t>
  </si>
  <si>
    <r>
      <rPr>
        <sz val="11"/>
        <color theme="1"/>
        <rFont val="Noto Sans"/>
        <family val="0"/>
        <charset val="1"/>
      </rPr>
      <t xml:space="preserve">F-4.11-2 </t>
    </r>
    <r>
      <rPr>
        <sz val="11"/>
        <color theme="1"/>
        <rFont val="Noto Sans CJK SC"/>
        <family val="2"/>
      </rPr>
      <t xml:space="preserve">학습 계획 관리</t>
    </r>
  </si>
  <si>
    <t xml:space="preserve">#27(I-7), #39(I-19), #43(I-23)</t>
  </si>
  <si>
    <t xml:space="preserve">A-13</t>
  </si>
  <si>
    <r>
      <rPr>
        <sz val="11"/>
        <color theme="1"/>
        <rFont val="Noto Sans CJK SC"/>
        <family val="2"/>
      </rPr>
      <t xml:space="preserve">질의응답 </t>
    </r>
    <r>
      <rPr>
        <sz val="11"/>
        <color theme="1"/>
        <rFont val="Noto Sans"/>
        <family val="0"/>
        <charset val="1"/>
      </rPr>
      <t xml:space="preserve">ON/OFF</t>
    </r>
  </si>
  <si>
    <r>
      <rPr>
        <sz val="11"/>
        <color theme="1"/>
        <rFont val="Noto Sans"/>
        <family val="0"/>
        <charset val="1"/>
      </rPr>
      <t xml:space="preserve">ON(</t>
    </r>
    <r>
      <rPr>
        <sz val="11"/>
        <color theme="1"/>
        <rFont val="Noto Sans CJK SC"/>
        <family val="2"/>
      </rPr>
      <t xml:space="preserve">온라인</t>
    </r>
    <r>
      <rPr>
        <sz val="11"/>
        <color theme="1"/>
        <rFont val="Noto Sans"/>
        <family val="0"/>
        <charset val="1"/>
      </rPr>
      <t xml:space="preserve">) = </t>
    </r>
    <r>
      <rPr>
        <sz val="11"/>
        <color theme="1"/>
        <rFont val="Noto Sans CJK SC"/>
        <family val="2"/>
      </rPr>
      <t xml:space="preserve">익명 질문 등록 → 멘토 답변 확인</t>
    </r>
    <r>
      <rPr>
        <sz val="11"/>
        <color theme="1"/>
        <rFont val="Noto Sans"/>
        <family val="0"/>
        <charset val="1"/>
      </rPr>
      <t xml:space="preserve">. OFF(</t>
    </r>
    <r>
      <rPr>
        <sz val="11"/>
        <color theme="1"/>
        <rFont val="Noto Sans CJK SC"/>
        <family val="2"/>
      </rPr>
      <t xml:space="preserve">대면</t>
    </r>
    <r>
      <rPr>
        <sz val="11"/>
        <color theme="1"/>
        <rFont val="Noto Sans"/>
        <family val="0"/>
        <charset val="1"/>
      </rPr>
      <t xml:space="preserve">) = </t>
    </r>
    <r>
      <rPr>
        <sz val="11"/>
        <color theme="1"/>
        <rFont val="Noto Sans CJK SC"/>
        <family val="2"/>
      </rPr>
      <t xml:space="preserve">상담실 가능 타임 조회 → 희망 타임 예약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취소</t>
    </r>
  </si>
  <si>
    <r>
      <rPr>
        <sz val="11"/>
        <color theme="1"/>
        <rFont val="Noto Sans"/>
        <family val="0"/>
        <charset val="1"/>
      </rPr>
      <t xml:space="preserve">GET/POST /qna, GET /qna/offline/slots, POST /qna/offline/reservations. </t>
    </r>
    <r>
      <rPr>
        <sz val="11"/>
        <color theme="1"/>
        <rFont val="Noto Sans CJK SC"/>
        <family val="2"/>
      </rPr>
      <t xml:space="preserve">질의응답 횟수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기록은 </t>
    </r>
    <r>
      <rPr>
        <sz val="11"/>
        <color theme="1"/>
        <rFont val="Noto Sans"/>
        <family val="0"/>
        <charset val="1"/>
      </rPr>
      <t xml:space="preserve">Daily Report(A-3)</t>
    </r>
    <r>
      <rPr>
        <sz val="11"/>
        <color theme="1"/>
        <rFont val="Noto Sans CJK SC"/>
        <family val="2"/>
      </rPr>
      <t xml:space="preserve">에 반영</t>
    </r>
  </si>
  <si>
    <t xml:space="preserve">GET/POST /api/v1/qna, /qna/offline/*</t>
  </si>
  <si>
    <r>
      <rPr>
        <sz val="11"/>
        <color theme="1"/>
        <rFont val="Noto Sans"/>
        <family val="0"/>
        <charset val="1"/>
      </rPr>
      <t xml:space="preserve">F-4.11-7 </t>
    </r>
    <r>
      <rPr>
        <sz val="11"/>
        <color theme="1"/>
        <rFont val="Noto Sans CJK SC"/>
        <family val="2"/>
      </rPr>
      <t xml:space="preserve">질의응답 관리</t>
    </r>
  </si>
  <si>
    <t xml:space="preserve">A-14</t>
  </si>
  <si>
    <r>
      <rPr>
        <sz val="11"/>
        <color theme="1"/>
        <rFont val="Noto Sans CJK SC"/>
        <family val="2"/>
      </rPr>
      <t xml:space="preserve">설문 응답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가채점 등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</si>
  <si>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관리에서 생성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배포한 설문에 응답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앱은 응답만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템플릿 생성 없음</t>
    </r>
    <r>
      <rPr>
        <sz val="11"/>
        <color theme="1"/>
        <rFont val="Noto Sans"/>
        <family val="0"/>
        <charset val="1"/>
      </rPr>
      <t xml:space="preserve">)</t>
    </r>
  </si>
  <si>
    <t xml:space="preserve">GET /surveys, POST /surveys/{id}/responses</t>
  </si>
  <si>
    <t xml:space="preserve">GET /api/v1/surveys, POST /surveys/{id}/responses</t>
  </si>
  <si>
    <r>
      <rPr>
        <sz val="11"/>
        <color theme="1"/>
        <rFont val="Noto Sans"/>
        <family val="0"/>
        <charset val="1"/>
      </rPr>
      <t xml:space="preserve">F-4.6-2 </t>
    </r>
    <r>
      <rPr>
        <sz val="11"/>
        <color theme="1"/>
        <rFont val="Noto Sans CJK SC"/>
        <family val="2"/>
      </rPr>
      <t xml:space="preserve">설문 관리</t>
    </r>
  </si>
  <si>
    <t xml:space="preserve">A-15</t>
  </si>
  <si>
    <t xml:space="preserve">특강 신청</t>
  </si>
  <si>
    <r>
      <rPr>
        <sz val="11"/>
        <color theme="1"/>
        <rFont val="Noto Sans CJK SC"/>
        <family val="2"/>
      </rPr>
      <t xml:space="preserve">특강 목록 조회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신청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신청 내역 확인</t>
    </r>
  </si>
  <si>
    <t xml:space="preserve">GET /lectures, POST /lectures/{id}/apply</t>
  </si>
  <si>
    <t xml:space="preserve">GET /api/v1/lectures, POST /lectures/{id}/apply</t>
  </si>
  <si>
    <t xml:space="preserve">A-16</t>
  </si>
  <si>
    <t xml:space="preserve">메시지</t>
  </si>
  <si>
    <r>
      <rPr>
        <sz val="11"/>
        <color theme="1"/>
        <rFont val="Noto Sans CJK SC"/>
        <family val="2"/>
      </rPr>
      <t xml:space="preserve">공지 </t>
    </r>
    <r>
      <rPr>
        <sz val="11"/>
        <color theme="1"/>
        <rFont val="Noto Sans"/>
        <family val="0"/>
        <charset val="1"/>
      </rPr>
      <t xml:space="preserve">· 1:1 </t>
    </r>
    <r>
      <rPr>
        <sz val="11"/>
        <color theme="1"/>
        <rFont val="Noto Sans CJK SC"/>
        <family val="2"/>
      </rPr>
      <t xml:space="preserve">채팅 </t>
    </r>
    <r>
      <rPr>
        <sz val="11"/>
        <color theme="1"/>
        <rFont val="Noto Sans"/>
        <family val="0"/>
        <charset val="1"/>
      </rPr>
      <t xml:space="preserve">· </t>
    </r>
    <r>
      <rPr>
        <sz val="11"/>
        <color theme="1"/>
        <rFont val="Noto Sans CJK SC"/>
        <family val="2"/>
      </rPr>
      <t xml:space="preserve">행정 요청</t>
    </r>
  </si>
  <si>
    <r>
      <rPr>
        <sz val="11"/>
        <color theme="1"/>
        <rFont val="Noto Sans CJK SC"/>
        <family val="2"/>
      </rPr>
      <t xml:space="preserve">공지 수신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조회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학생↔담임 </t>
    </r>
    <r>
      <rPr>
        <sz val="11"/>
        <color theme="1"/>
        <rFont val="Noto Sans"/>
        <family val="0"/>
        <charset val="1"/>
      </rPr>
      <t xml:space="preserve">1:1 </t>
    </r>
    <r>
      <rPr>
        <sz val="11"/>
        <color theme="1"/>
        <rFont val="Noto Sans CJK SC"/>
        <family val="2"/>
      </rPr>
      <t xml:space="preserve">채팅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사전 정의 항목 클릭 방식 행정 요청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가족 채팅방 폐기</t>
    </r>
  </si>
  <si>
    <r>
      <rPr>
        <sz val="11"/>
        <color theme="1"/>
        <rFont val="Noto Sans"/>
        <family val="0"/>
        <charset val="1"/>
      </rPr>
      <t xml:space="preserve">GET /notices. 1:1 </t>
    </r>
    <r>
      <rPr>
        <sz val="11"/>
        <color theme="1"/>
        <rFont val="Noto Sans CJK SC"/>
        <family val="2"/>
      </rPr>
      <t xml:space="preserve">채팅은 외부 유료 메신저 </t>
    </r>
    <r>
      <rPr>
        <sz val="11"/>
        <color theme="1"/>
        <rFont val="Noto Sans"/>
        <family val="0"/>
        <charset val="1"/>
      </rPr>
      <t xml:space="preserve">Flutter SDK </t>
    </r>
    <r>
      <rPr>
        <sz val="11"/>
        <color theme="1"/>
        <rFont val="Noto Sans CJK SC"/>
        <family val="2"/>
      </rPr>
      <t xml:space="preserve">또는 </t>
    </r>
    <r>
      <rPr>
        <sz val="11"/>
        <color theme="1"/>
        <rFont val="Noto Sans"/>
        <family val="0"/>
        <charset val="1"/>
      </rPr>
      <t xml:space="preserve">WebView </t>
    </r>
    <r>
      <rPr>
        <sz val="11"/>
        <color theme="1"/>
        <rFont val="Noto Sans CJK SC"/>
        <family val="2"/>
      </rPr>
      <t xml:space="preserve">임베드</t>
    </r>
    <r>
      <rPr>
        <sz val="11"/>
        <color theme="1"/>
        <rFont val="Noto Sans"/>
        <family val="0"/>
        <charset val="1"/>
      </rPr>
      <t xml:space="preserve">(E-6 </t>
    </r>
    <r>
      <rPr>
        <sz val="11"/>
        <color theme="1"/>
        <rFont val="Noto Sans CJK SC"/>
        <family val="2"/>
      </rPr>
      <t xml:space="preserve">선정 후 확정</t>
    </r>
    <r>
      <rPr>
        <sz val="11"/>
        <color theme="1"/>
        <rFont val="Noto Sans"/>
        <family val="0"/>
        <charset val="1"/>
      </rPr>
      <t xml:space="preserve">) — </t>
    </r>
    <r>
      <rPr>
        <sz val="11"/>
        <color theme="1"/>
        <rFont val="Noto Sans CJK SC"/>
        <family val="2"/>
      </rPr>
      <t xml:space="preserve">본문은 벤더 저장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앱은 참조</t>
    </r>
    <r>
      <rPr>
        <sz val="11"/>
        <color theme="1"/>
        <rFont val="Noto Sans"/>
        <family val="0"/>
        <charset val="1"/>
      </rPr>
      <t xml:space="preserve">ID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Noto Sans"/>
        <family val="0"/>
        <charset val="1"/>
      </rPr>
      <t xml:space="preserve">. POST /admin-requests(</t>
    </r>
    <r>
      <rPr>
        <sz val="11"/>
        <color theme="1"/>
        <rFont val="Noto Sans CJK SC"/>
        <family val="2"/>
      </rPr>
      <t xml:space="preserve">항목 목록 </t>
    </r>
    <r>
      <rPr>
        <sz val="11"/>
        <color theme="1"/>
        <rFont val="Noto Sans"/>
        <family val="0"/>
        <charset val="1"/>
      </rPr>
      <t xml:space="preserve">I-3 </t>
    </r>
    <r>
      <rPr>
        <sz val="11"/>
        <color theme="1"/>
        <rFont val="Noto Sans CJK SC"/>
        <family val="2"/>
      </rPr>
      <t xml:space="preserve">확정 필요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</si>
  <si>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GET /api/v1/notices, POST /admin-requests, (</t>
    </r>
    <r>
      <rPr>
        <sz val="11"/>
        <color theme="1"/>
        <rFont val="Noto Sans CJK SC"/>
        <family val="2"/>
      </rPr>
      <t xml:space="preserve">외부 메신저 </t>
    </r>
    <r>
      <rPr>
        <sz val="11"/>
        <color theme="1"/>
        <rFont val="Noto Sans"/>
        <family val="0"/>
        <charset val="1"/>
      </rPr>
      <t xml:space="preserve">SDK)</t>
    </r>
  </si>
  <si>
    <r>
      <rPr>
        <sz val="11"/>
        <color theme="1"/>
        <rFont val="Noto Sans"/>
        <family val="0"/>
        <charset val="1"/>
      </rPr>
      <t xml:space="preserve">F-4.11-3 </t>
    </r>
    <r>
      <rPr>
        <sz val="11"/>
        <color theme="1"/>
        <rFont val="Noto Sans CJK SC"/>
        <family val="2"/>
      </rPr>
      <t xml:space="preserve">메시지 관리</t>
    </r>
  </si>
  <si>
    <t xml:space="preserve">A-17</t>
  </si>
  <si>
    <t xml:space="preserve">온보딩</t>
  </si>
  <si>
    <t xml:space="preserve">신상기록부 입력</t>
  </si>
  <si>
    <r>
      <rPr>
        <sz val="11"/>
        <color theme="1"/>
        <rFont val="Noto Sans CJK SC"/>
        <family val="2"/>
      </rPr>
      <t xml:space="preserve">회원가입 후 설문형 입력 강제 단계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학년별 폼 분기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고</t>
    </r>
    <r>
      <rPr>
        <sz val="11"/>
        <color theme="1"/>
        <rFont val="Noto Sans"/>
        <family val="0"/>
        <charset val="1"/>
      </rPr>
      <t xml:space="preserve">2·</t>
    </r>
    <r>
      <rPr>
        <sz val="11"/>
        <color theme="1"/>
        <rFont val="Noto Sans CJK SC"/>
        <family val="2"/>
      </rPr>
      <t xml:space="preserve">고</t>
    </r>
    <r>
      <rPr>
        <sz val="11"/>
        <color theme="1"/>
        <rFont val="Noto Sans"/>
        <family val="0"/>
        <charset val="1"/>
      </rPr>
      <t xml:space="preserve">3 </t>
    </r>
    <r>
      <rPr>
        <sz val="11"/>
        <color theme="1"/>
        <rFont val="Noto Sans CJK SC"/>
        <family val="2"/>
      </rPr>
      <t xml:space="preserve">단순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재수</t>
    </r>
    <r>
      <rPr>
        <sz val="11"/>
        <color theme="1"/>
        <rFont val="Noto Sans"/>
        <family val="0"/>
        <charset val="1"/>
      </rPr>
      <t xml:space="preserve">·N</t>
    </r>
    <r>
      <rPr>
        <sz val="11"/>
        <color theme="1"/>
        <rFont val="Noto Sans CJK SC"/>
        <family val="2"/>
      </rPr>
      <t xml:space="preserve">수 </t>
    </r>
    <r>
      <rPr>
        <sz val="11"/>
        <color theme="1"/>
        <rFont val="Noto Sans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종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가입 기본정보는 자동 표시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재입력 제외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미작성 시 등록 미완</t>
    </r>
  </si>
  <si>
    <r>
      <rPr>
        <sz val="11"/>
        <color theme="1"/>
        <rFont val="Noto Sans"/>
        <family val="0"/>
        <charset val="1"/>
      </rPr>
      <t xml:space="preserve">GET /profile-forms?grade=, POST /student-profiles. </t>
    </r>
    <r>
      <rPr>
        <sz val="11"/>
        <color theme="1"/>
        <rFont val="Noto Sans CJK SC"/>
        <family val="2"/>
      </rPr>
      <t xml:space="preserve">작성 완료 여부가 온보딩 진행 게이트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열람</t>
    </r>
    <r>
      <rPr>
        <sz val="11"/>
        <color theme="1"/>
        <rFont val="Noto Sans"/>
        <family val="0"/>
        <charset val="1"/>
      </rPr>
      <t xml:space="preserve">·PDF </t>
    </r>
    <r>
      <rPr>
        <sz val="11"/>
        <color theme="1"/>
        <rFont val="Noto Sans CJK SC"/>
        <family val="2"/>
      </rPr>
      <t xml:space="preserve">출력은 관리 웹</t>
    </r>
    <r>
      <rPr>
        <sz val="11"/>
        <color theme="1"/>
        <rFont val="Noto Sans"/>
        <family val="0"/>
        <charset val="1"/>
      </rPr>
      <t xml:space="preserve">(F-4.11-8)</t>
    </r>
  </si>
  <si>
    <t xml:space="preserve">GET /api/v1/profile-forms, POST /student-profiles</t>
  </si>
  <si>
    <r>
      <rPr>
        <sz val="11"/>
        <color theme="1"/>
        <rFont val="Noto Sans"/>
        <family val="0"/>
        <charset val="1"/>
      </rPr>
      <t xml:space="preserve">F-4.11-8 </t>
    </r>
    <r>
      <rPr>
        <sz val="11"/>
        <color theme="1"/>
        <rFont val="Noto Sans CJK SC"/>
        <family val="2"/>
      </rPr>
      <t xml:space="preserve">신상기록부</t>
    </r>
  </si>
  <si>
    <t xml:space="preserve">#37(I-17)</t>
  </si>
  <si>
    <t xml:space="preserve">A-18</t>
  </si>
  <si>
    <t xml:space="preserve">마이</t>
  </si>
  <si>
    <r>
      <rPr>
        <sz val="11"/>
        <color theme="1"/>
        <rFont val="Noto Sans CJK SC"/>
        <family val="2"/>
      </rPr>
      <t xml:space="preserve">출석 </t>
    </r>
    <r>
      <rPr>
        <sz val="11"/>
        <color theme="1"/>
        <rFont val="Noto Sans"/>
        <family val="0"/>
        <charset val="1"/>
      </rPr>
      <t xml:space="preserve">&amp; </t>
    </r>
    <r>
      <rPr>
        <sz val="11"/>
        <color theme="1"/>
        <rFont val="Noto Sans CJK SC"/>
        <family val="2"/>
      </rPr>
      <t xml:space="preserve">상벌점 </t>
    </r>
    <r>
      <rPr>
        <sz val="11"/>
        <color theme="1"/>
        <rFont val="Noto Sans"/>
        <family val="0"/>
        <charset val="1"/>
      </rPr>
      <t xml:space="preserve">· </t>
    </r>
    <r>
      <rPr>
        <sz val="11"/>
        <color theme="1"/>
        <rFont val="Noto Sans CJK SC"/>
        <family val="2"/>
      </rPr>
      <t xml:space="preserve">사유출결 현황</t>
    </r>
  </si>
  <si>
    <r>
      <rPr>
        <sz val="11"/>
        <color theme="1"/>
        <rFont val="Noto Sans CJK SC"/>
        <family val="2"/>
      </rPr>
      <t xml:space="preserve">입퇴실 이력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누적 상벌점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당월 사유출결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벌점 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벌점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사유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총 벌점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</si>
  <si>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GET /attendance, GET /penalties/me
▷[0723] </t>
    </r>
    <r>
      <rPr>
        <sz val="11"/>
        <color theme="1"/>
        <rFont val="Noto Sans CJK SC"/>
        <family val="2"/>
      </rPr>
      <t xml:space="preserve">학생 노출 명칭 완화 검토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관리점수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나의점수 등</t>
    </r>
    <r>
      <rPr>
        <sz val="11"/>
        <color theme="1"/>
        <rFont val="Noto Sans"/>
        <family val="0"/>
        <charset val="1"/>
      </rPr>
      <t xml:space="preserve">) — </t>
    </r>
    <r>
      <rPr>
        <sz val="11"/>
        <color theme="1"/>
        <rFont val="Noto Sans CJK SC"/>
        <family val="2"/>
      </rPr>
      <t xml:space="preserve">운영팀 확정 시 앱 라벨 동시 반영</t>
    </r>
  </si>
  <si>
    <t xml:space="preserve">GET /api/v1/attendance, GET /penalties/me</t>
  </si>
  <si>
    <r>
      <rPr>
        <sz val="11"/>
        <color theme="1"/>
        <rFont val="Noto Sans"/>
        <family val="0"/>
        <charset val="1"/>
      </rPr>
      <t xml:space="preserve">F-4.1-3 </t>
    </r>
    <r>
      <rPr>
        <sz val="11"/>
        <color theme="1"/>
        <rFont val="Noto Sans CJK SC"/>
        <family val="2"/>
      </rPr>
      <t xml:space="preserve">상벌점 관리</t>
    </r>
  </si>
  <si>
    <t xml:space="preserve">A-19</t>
  </si>
  <si>
    <t xml:space="preserve">학부모</t>
  </si>
  <si>
    <t xml:space="preserve">승인 큐</t>
  </si>
  <si>
    <r>
      <rPr>
        <sz val="11"/>
        <color theme="1"/>
        <rFont val="Noto Sans CJK SC"/>
        <family val="2"/>
      </rPr>
      <t xml:space="preserve">사유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정기일정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방화벽 등 항목별 승인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반려 처리</t>
    </r>
    <r>
      <rPr>
        <sz val="11"/>
        <color theme="1"/>
        <rFont val="Noto Sans"/>
        <family val="0"/>
        <charset val="1"/>
      </rPr>
      <t xml:space="preserve">. approver_type=PARENT </t>
    </r>
    <r>
      <rPr>
        <sz val="11"/>
        <color theme="1"/>
        <rFont val="Noto Sans CJK SC"/>
        <family val="2"/>
      </rPr>
      <t xml:space="preserve">항목만 수신</t>
    </r>
  </si>
  <si>
    <r>
      <rPr>
        <sz val="11"/>
        <color theme="1"/>
        <rFont val="Noto Sans"/>
        <family val="0"/>
        <charset val="1"/>
      </rPr>
      <t xml:space="preserve">GET /approvals?assignee=me, POST /approvals/{id}:approve|:reject. </t>
    </r>
    <r>
      <rPr>
        <sz val="11"/>
        <color theme="1"/>
        <rFont val="Noto Sans CJK SC"/>
        <family val="2"/>
      </rPr>
      <t xml:space="preserve">미응답 시 담임 에스컬레이션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응답 제한시간 미확약 </t>
    </r>
    <r>
      <rPr>
        <sz val="11"/>
        <color theme="1"/>
        <rFont val="Noto Sans"/>
        <family val="0"/>
        <charset val="1"/>
      </rPr>
      <t xml:space="preserve">#40). </t>
    </r>
    <r>
      <rPr>
        <sz val="11"/>
        <color theme="1"/>
        <rFont val="Noto Sans CJK SC"/>
        <family val="2"/>
      </rPr>
      <t xml:space="preserve">승인 동작 시 생체</t>
    </r>
    <r>
      <rPr>
        <sz val="11"/>
        <color theme="1"/>
        <rFont val="Noto Sans"/>
        <family val="0"/>
        <charset val="1"/>
      </rPr>
      <t xml:space="preserve">/PIN </t>
    </r>
    <r>
      <rPr>
        <sz val="11"/>
        <color theme="1"/>
        <rFont val="Noto Sans CJK SC"/>
        <family val="2"/>
      </rPr>
      <t xml:space="preserve">재인증 옵션</t>
    </r>
  </si>
  <si>
    <t xml:space="preserve">GET /api/v1/approvals, POST /approvals/{id}:approve</t>
  </si>
  <si>
    <r>
      <rPr>
        <sz val="11"/>
        <color theme="1"/>
        <rFont val="Noto Sans"/>
        <family val="0"/>
        <charset val="1"/>
      </rPr>
      <t xml:space="preserve">F-4.11-5 </t>
    </r>
    <r>
      <rPr>
        <sz val="11"/>
        <color theme="1"/>
        <rFont val="Noto Sans CJK SC"/>
        <family val="2"/>
      </rPr>
      <t xml:space="preserve">승인 라우팅</t>
    </r>
  </si>
  <si>
    <t xml:space="preserve">A-20</t>
  </si>
  <si>
    <r>
      <rPr>
        <sz val="11"/>
        <color theme="1"/>
        <rFont val="Noto Sans CJK SC"/>
        <family val="2"/>
      </rPr>
      <t xml:space="preserve">학부모 홈 </t>
    </r>
    <r>
      <rPr>
        <sz val="11"/>
        <color theme="1"/>
        <rFont val="Noto Sans"/>
        <family val="0"/>
        <charset val="1"/>
      </rPr>
      <t xml:space="preserve">· </t>
    </r>
    <r>
      <rPr>
        <sz val="11"/>
        <color theme="1"/>
        <rFont val="Noto Sans CJK SC"/>
        <family val="2"/>
      </rPr>
      <t xml:space="preserve">자녀 현황</t>
    </r>
  </si>
  <si>
    <r>
      <rPr>
        <sz val="11"/>
        <color theme="1"/>
        <rFont val="Noto Sans CJK SC"/>
        <family val="2"/>
      </rPr>
      <t xml:space="preserve">자녀 출결 요약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알림 요약</t>
    </r>
    <r>
      <rPr>
        <sz val="11"/>
        <color theme="1"/>
        <rFont val="Noto Sans"/>
        <family val="0"/>
        <charset val="1"/>
      </rPr>
      <t xml:space="preserve">·Daily Report </t>
    </r>
    <r>
      <rPr>
        <sz val="11"/>
        <color theme="1"/>
        <rFont val="Noto Sans CJK SC"/>
        <family val="2"/>
      </rPr>
      <t xml:space="preserve">조회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급식 신청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공지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학부모 최대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인 확정</t>
    </r>
  </si>
  <si>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-</t>
    </r>
    <r>
      <rPr>
        <sz val="11"/>
        <color theme="1"/>
        <rFont val="Noto Sans CJK SC"/>
        <family val="2"/>
      </rPr>
      <t xml:space="preserve">학부모 매핑 </t>
    </r>
    <r>
      <rPr>
        <sz val="11"/>
        <color theme="1"/>
        <rFont val="Noto Sans"/>
        <family val="0"/>
        <charset val="1"/>
      </rPr>
      <t xml:space="preserve">1:1. </t>
    </r>
    <r>
      <rPr>
        <sz val="11"/>
        <color theme="1"/>
        <rFont val="Noto Sans CJK SC"/>
        <family val="2"/>
      </rPr>
      <t xml:space="preserve">조회 권한은 자녀 데이터로 스코프 강제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서버 검증</t>
    </r>
    <r>
      <rPr>
        <sz val="11"/>
        <color theme="1"/>
        <rFont val="Noto Sans"/>
        <family val="0"/>
        <charset val="1"/>
      </rPr>
      <t xml:space="preserve">)</t>
    </r>
  </si>
  <si>
    <t xml:space="preserve">GET /api/v1/daily-reports/*, /attendance, /notices</t>
  </si>
  <si>
    <t xml:space="preserve">A-21</t>
  </si>
  <si>
    <t xml:space="preserve">설정</t>
  </si>
  <si>
    <r>
      <rPr>
        <sz val="11"/>
        <color theme="1"/>
        <rFont val="Noto Sans CJK SC"/>
        <family val="2"/>
      </rPr>
      <t xml:space="preserve">설정 </t>
    </r>
    <r>
      <rPr>
        <sz val="11"/>
        <color theme="1"/>
        <rFont val="Noto Sans"/>
        <family val="0"/>
        <charset val="1"/>
      </rPr>
      <t xml:space="preserve">· </t>
    </r>
    <r>
      <rPr>
        <sz val="11"/>
        <color theme="1"/>
        <rFont val="Noto Sans CJK SC"/>
        <family val="2"/>
      </rPr>
      <t xml:space="preserve">알림 수신 관리</t>
    </r>
  </si>
  <si>
    <r>
      <rPr>
        <sz val="11"/>
        <color theme="1"/>
        <rFont val="Noto Sans CJK SC"/>
        <family val="2"/>
      </rPr>
      <t xml:space="preserve">알림 수신 동의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유형별 </t>
    </r>
    <r>
      <rPr>
        <sz val="11"/>
        <color theme="1"/>
        <rFont val="Noto Sans"/>
        <family val="0"/>
        <charset val="1"/>
      </rPr>
      <t xml:space="preserve">on/off, </t>
    </r>
    <r>
      <rPr>
        <sz val="11"/>
        <color theme="1"/>
        <rFont val="Noto Sans CJK SC"/>
        <family val="2"/>
      </rPr>
      <t xml:space="preserve">비밀번호 변경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로그아웃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버전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점검 안내</t>
    </r>
  </si>
  <si>
    <r>
      <rPr>
        <sz val="11"/>
        <color theme="1"/>
        <rFont val="Noto Sans"/>
        <family val="0"/>
        <charset val="1"/>
      </rPr>
      <t xml:space="preserve">GET /app-config</t>
    </r>
    <r>
      <rPr>
        <sz val="11"/>
        <color theme="1"/>
        <rFont val="Noto Sans CJK SC"/>
        <family val="2"/>
      </rPr>
      <t xml:space="preserve">로 최소 지원 버전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점검 모드 확인 → 강제 업데이트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점검 화면 분기</t>
    </r>
    <r>
      <rPr>
        <sz val="11"/>
        <color theme="1"/>
        <rFont val="Noto Sans"/>
        <family val="0"/>
        <charset val="1"/>
      </rPr>
      <t xml:space="preserve">. FCM </t>
    </r>
    <r>
      <rPr>
        <sz val="11"/>
        <color theme="1"/>
        <rFont val="Noto Sans CJK SC"/>
        <family val="2"/>
      </rPr>
      <t xml:space="preserve">토큰 갱신 리스너 → </t>
    </r>
    <r>
      <rPr>
        <sz val="11"/>
        <color theme="1"/>
        <rFont val="Noto Sans"/>
        <family val="0"/>
        <charset val="1"/>
      </rPr>
      <t xml:space="preserve">POST /push/token</t>
    </r>
  </si>
  <si>
    <t xml:space="preserve">GET /api/v1/app-config, POST /push/token</t>
  </si>
  <si>
    <t xml:space="preserve">F-4.12-2, F-4.12-3</t>
  </si>
  <si>
    <t xml:space="preserve">#45(E-7)</t>
  </si>
  <si>
    <t xml:space="preserve">A-C1</t>
  </si>
  <si>
    <t xml:space="preserve">앱 공통 규약</t>
  </si>
  <si>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소비 규약</t>
    </r>
  </si>
  <si>
    <t xml:space="preserve">공통</t>
  </si>
  <si>
    <r>
      <rPr>
        <sz val="11"/>
        <color theme="1"/>
        <rFont val="Noto Sans CJK SC"/>
        <family val="2"/>
      </rPr>
      <t xml:space="preserve">공통 응답 </t>
    </r>
    <r>
      <rPr>
        <sz val="11"/>
        <color theme="1"/>
        <rFont val="Noto Sans"/>
        <family val="0"/>
        <charset val="1"/>
      </rPr>
      <t xml:space="preserve">{success, data, meta, error} </t>
    </r>
    <r>
      <rPr>
        <sz val="11"/>
        <color theme="1"/>
        <rFont val="Noto Sans CJK SC"/>
        <family val="2"/>
      </rPr>
      <t xml:space="preserve">준수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목록 호출은 </t>
    </r>
    <r>
      <rPr>
        <sz val="11"/>
        <color theme="1"/>
        <rFont val="Noto Sans"/>
        <family val="0"/>
        <charset val="1"/>
      </rPr>
      <t xml:space="preserve">year·branchId </t>
    </r>
    <r>
      <rPr>
        <sz val="11"/>
        <color theme="1"/>
        <rFont val="Noto Sans CJK SC"/>
        <family val="2"/>
      </rPr>
      <t xml:space="preserve">자동 주입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페이지네이션 </t>
    </r>
    <r>
      <rPr>
        <sz val="11"/>
        <color theme="1"/>
        <rFont val="Noto Sans"/>
        <family val="0"/>
        <charset val="1"/>
      </rPr>
      <t xml:space="preserve">page/size/sort</t>
    </r>
  </si>
  <si>
    <r>
      <rPr>
        <sz val="11"/>
        <color theme="1"/>
        <rFont val="Noto Sans"/>
        <family val="0"/>
        <charset val="1"/>
      </rPr>
      <t xml:space="preserve">ApiResult&lt;T&gt; </t>
    </r>
    <r>
      <rPr>
        <sz val="11"/>
        <color theme="1"/>
        <rFont val="Noto Sans CJK SC"/>
        <family val="2"/>
      </rPr>
      <t xml:space="preserve">래핑</t>
    </r>
    <r>
      <rPr>
        <sz val="11"/>
        <color theme="1"/>
        <rFont val="Noto Sans"/>
        <family val="0"/>
        <charset val="1"/>
      </rPr>
      <t xml:space="preserve">. dio </t>
    </r>
    <r>
      <rPr>
        <sz val="11"/>
        <color theme="1"/>
        <rFont val="Noto Sans CJK SC"/>
        <family val="2"/>
      </rPr>
      <t xml:space="preserve">인터셉터 </t>
    </r>
    <r>
      <rPr>
        <sz val="11"/>
        <color theme="1"/>
        <rFont val="Noto Sans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종</t>
    </r>
    <r>
      <rPr>
        <sz val="11"/>
        <color theme="1"/>
        <rFont val="Noto Sans"/>
        <family val="0"/>
        <charset val="1"/>
      </rPr>
      <t xml:space="preserve">: AuthInterceptor(401 → refresh → </t>
    </r>
    <r>
      <rPr>
        <sz val="11"/>
        <color theme="1"/>
        <rFont val="Noto Sans CJK SC"/>
        <family val="2"/>
      </rPr>
      <t xml:space="preserve">원요청 재시도</t>
    </r>
    <r>
      <rPr>
        <sz val="11"/>
        <color theme="1"/>
        <rFont val="Noto Sans"/>
        <family val="0"/>
        <charset val="1"/>
      </rPr>
      <t xml:space="preserve">, refresh </t>
    </r>
    <r>
      <rPr>
        <sz val="11"/>
        <color theme="1"/>
        <rFont val="Noto Sans CJK SC"/>
        <family val="2"/>
      </rPr>
      <t xml:space="preserve">실패 시 로그아웃</t>
    </r>
    <r>
      <rPr>
        <sz val="11"/>
        <color theme="1"/>
        <rFont val="Noto Sans"/>
        <family val="0"/>
        <charset val="1"/>
      </rPr>
      <t xml:space="preserve">) / RetryInterceptor(</t>
    </r>
    <r>
      <rPr>
        <sz val="11"/>
        <color theme="1"/>
        <rFont val="Noto Sans CJK SC"/>
        <family val="2"/>
      </rPr>
      <t xml:space="preserve">네트워크</t>
    </r>
    <r>
      <rPr>
        <sz val="11"/>
        <color theme="1"/>
        <rFont val="Noto Sans"/>
        <family val="0"/>
        <charset val="1"/>
      </rPr>
      <t xml:space="preserve">·5xx </t>
    </r>
    <r>
      <rPr>
        <sz val="11"/>
        <color theme="1"/>
        <rFont val="Noto Sans CJK SC"/>
        <family val="2"/>
      </rPr>
      <t xml:space="preserve">지수백오프</t>
    </r>
    <r>
      <rPr>
        <sz val="11"/>
        <color theme="1"/>
        <rFont val="Noto Sans"/>
        <family val="0"/>
        <charset val="1"/>
      </rPr>
      <t xml:space="preserve">) / ErrorMapInterceptor(error.code → Failure) / LoggingInterceptor(prod </t>
    </r>
    <r>
      <rPr>
        <sz val="11"/>
        <color theme="1"/>
        <rFont val="Noto Sans CJK SC"/>
        <family val="2"/>
      </rPr>
      <t xml:space="preserve">비활성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멱등하지 않은 </t>
    </r>
    <r>
      <rPr>
        <sz val="11"/>
        <color theme="1"/>
        <rFont val="Noto Sans"/>
        <family val="0"/>
        <charset val="1"/>
      </rPr>
      <t xml:space="preserve">POST(</t>
    </r>
    <r>
      <rPr>
        <sz val="11"/>
        <color theme="1"/>
        <rFont val="Noto Sans CJK SC"/>
        <family val="2"/>
      </rPr>
      <t xml:space="preserve">결제 등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는 재시도 제외 </t>
    </r>
    <r>
      <rPr>
        <sz val="11"/>
        <color theme="1"/>
        <rFont val="Noto Sans"/>
        <family val="0"/>
        <charset val="1"/>
      </rPr>
      <t xml:space="preserve">+ Idempotency-Key </t>
    </r>
    <r>
      <rPr>
        <sz val="11"/>
        <color theme="1"/>
        <rFont val="Noto Sans CJK SC"/>
        <family val="2"/>
      </rPr>
      <t xml:space="preserve">헤더</t>
    </r>
  </si>
  <si>
    <r>
      <rPr>
        <sz val="11"/>
        <color theme="1"/>
        <rFont val="Noto Sans"/>
        <family val="0"/>
        <charset val="1"/>
      </rPr>
      <t xml:space="preserve">F-4.10-2 </t>
    </r>
    <r>
      <rPr>
        <sz val="11"/>
        <color theme="1"/>
        <rFont val="Noto Sans CJK SC"/>
        <family val="2"/>
      </rPr>
      <t xml:space="preserve">사용자 관리</t>
    </r>
    <r>
      <rPr>
        <sz val="11"/>
        <color theme="1"/>
        <rFont val="Noto Sans"/>
        <family val="0"/>
        <charset val="1"/>
      </rPr>
      <t xml:space="preserve">(RBAC)</t>
    </r>
  </si>
  <si>
    <t xml:space="preserve">A-C2</t>
  </si>
  <si>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오프라인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재시도</t>
    </r>
  </si>
  <si>
    <r>
      <rPr>
        <sz val="11"/>
        <color theme="1"/>
        <rFont val="Noto Sans CJK SC"/>
        <family val="2"/>
      </rPr>
      <t xml:space="preserve">화면별 </t>
    </r>
    <r>
      <rPr>
        <sz val="11"/>
        <color theme="1"/>
        <rFont val="Noto Sans"/>
        <family val="0"/>
        <charset val="1"/>
      </rPr>
      <t xml:space="preserve">AsyncNotifier</t>
    </r>
    <r>
      <rPr>
        <sz val="11"/>
        <color theme="1"/>
        <rFont val="Noto Sans CJK SC"/>
        <family val="2"/>
      </rPr>
      <t xml:space="preserve">로 로딩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에러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데이터 </t>
    </r>
    <r>
      <rPr>
        <sz val="11"/>
        <color theme="1"/>
        <rFont val="Noto Sans"/>
        <family val="0"/>
        <charset val="1"/>
      </rPr>
      <t xml:space="preserve">3-state </t>
    </r>
    <r>
      <rPr>
        <sz val="11"/>
        <color theme="1"/>
        <rFont val="Noto Sans CJK SC"/>
        <family val="2"/>
      </rPr>
      <t xml:space="preserve">통일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중요 쓰기는 로컬 큐 적재 후 재전송</t>
    </r>
  </si>
  <si>
    <r>
      <rPr>
        <sz val="11"/>
        <color theme="1"/>
        <rFont val="Noto Sans CJK SC"/>
        <family val="2"/>
      </rPr>
      <t xml:space="preserve">급식 결제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사유 제출 등 중요 쓰기는 </t>
    </r>
    <r>
      <rPr>
        <sz val="11"/>
        <color theme="1"/>
        <rFont val="Noto Sans"/>
        <family val="0"/>
        <charset val="1"/>
      </rPr>
      <t xml:space="preserve">drift </t>
    </r>
    <r>
      <rPr>
        <sz val="11"/>
        <color theme="1"/>
        <rFont val="Noto Sans CJK SC"/>
        <family val="2"/>
      </rPr>
      <t xml:space="preserve">로컬 큐에 적재 → 네트워크 복구 시 재전송</t>
    </r>
    <r>
      <rPr>
        <sz val="11"/>
        <color theme="1"/>
        <rFont val="Noto Sans"/>
        <family val="0"/>
        <charset val="1"/>
      </rPr>
      <t xml:space="preserve">(Idempotency-Key</t>
    </r>
    <r>
      <rPr>
        <sz val="11"/>
        <color theme="1"/>
        <rFont val="Noto Sans CJK SC"/>
        <family val="2"/>
      </rPr>
      <t xml:space="preserve">로 중복 방지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조회는 </t>
    </r>
    <r>
      <rPr>
        <sz val="11"/>
        <color theme="1"/>
        <rFont val="Noto Sans"/>
        <family val="0"/>
        <charset val="1"/>
      </rPr>
      <t xml:space="preserve">last-known </t>
    </r>
    <r>
      <rPr>
        <sz val="11"/>
        <color theme="1"/>
        <rFont val="Noto Sans CJK SC"/>
        <family val="2"/>
      </rPr>
      <t xml:space="preserve">캐시 표시 후 갱신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낙관적 업데이트는 승인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토글류로 제한</t>
    </r>
  </si>
  <si>
    <t xml:space="preserve">A-6, A-9</t>
  </si>
  <si>
    <t xml:space="preserve">A-C3</t>
  </si>
  <si>
    <r>
      <rPr>
        <sz val="11"/>
        <color theme="1"/>
        <rFont val="Noto Sans"/>
        <family val="0"/>
        <charset val="1"/>
      </rPr>
      <t xml:space="preserve">FCM </t>
    </r>
    <r>
      <rPr>
        <sz val="11"/>
        <color theme="1"/>
        <rFont val="Noto Sans CJK SC"/>
        <family val="2"/>
      </rPr>
      <t xml:space="preserve">알림 매핑표 </t>
    </r>
    <r>
      <rPr>
        <sz val="11"/>
        <color theme="1"/>
        <rFont val="Noto Sans"/>
        <family val="0"/>
        <charset val="1"/>
      </rPr>
      <t xml:space="preserve">· </t>
    </r>
    <r>
      <rPr>
        <sz val="11"/>
        <color theme="1"/>
        <rFont val="Noto Sans CJK SC"/>
        <family val="2"/>
      </rPr>
      <t xml:space="preserve">딥링크</t>
    </r>
  </si>
  <si>
    <r>
      <rPr>
        <sz val="11"/>
        <color theme="1"/>
        <rFont val="Noto Sans CJK SC"/>
        <family val="2"/>
      </rPr>
      <t xml:space="preserve">이벤트별 수신자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채널 매핑을 표로 고정</t>
    </r>
    <r>
      <rPr>
        <sz val="11"/>
        <color theme="1"/>
        <rFont val="Noto Sans"/>
        <family val="0"/>
        <charset val="1"/>
      </rPr>
      <t xml:space="preserve">. data </t>
    </r>
    <r>
      <rPr>
        <sz val="11"/>
        <color theme="1"/>
        <rFont val="Noto Sans CJK SC"/>
        <family val="2"/>
      </rPr>
      <t xml:space="preserve">메시지의 </t>
    </r>
    <r>
      <rPr>
        <sz val="11"/>
        <color theme="1"/>
        <rFont val="Noto Sans"/>
        <family val="0"/>
        <charset val="1"/>
      </rPr>
      <t xml:space="preserve">{type, refId}</t>
    </r>
    <r>
      <rPr>
        <sz val="11"/>
        <color theme="1"/>
        <rFont val="Noto Sans CJK SC"/>
        <family val="2"/>
      </rPr>
      <t xml:space="preserve">로 딥링크 라우팅</t>
    </r>
  </si>
  <si>
    <r>
      <rPr>
        <sz val="11"/>
        <color theme="1"/>
        <rFont val="Noto Sans CJK SC"/>
        <family val="2"/>
      </rPr>
      <t xml:space="preserve">매핑표 — 입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퇴실</t>
    </r>
    <r>
      <rPr>
        <sz val="11"/>
        <color theme="1"/>
        <rFont val="Noto Sans"/>
        <family val="0"/>
        <charset val="1"/>
      </rPr>
      <t xml:space="preserve">:</t>
    </r>
    <r>
      <rPr>
        <sz val="11"/>
        <color theme="1"/>
        <rFont val="Noto Sans CJK SC"/>
        <family val="2"/>
      </rPr>
      <t xml:space="preserve">학부모</t>
    </r>
    <r>
      <rPr>
        <sz val="11"/>
        <color theme="1"/>
        <rFont val="Noto Sans"/>
        <family val="0"/>
        <charset val="1"/>
      </rPr>
      <t xml:space="preserve">/FCM · </t>
    </r>
    <r>
      <rPr>
        <sz val="11"/>
        <color theme="1"/>
        <rFont val="Noto Sans CJK SC"/>
        <family val="2"/>
      </rPr>
      <t xml:space="preserve">사유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정기일정 승인요청</t>
    </r>
    <r>
      <rPr>
        <sz val="11"/>
        <color theme="1"/>
        <rFont val="Noto Sans"/>
        <family val="0"/>
        <charset val="1"/>
      </rPr>
      <t xml:space="preserve">:</t>
    </r>
    <r>
      <rPr>
        <sz val="11"/>
        <color theme="1"/>
        <rFont val="Noto Sans CJK SC"/>
        <family val="2"/>
      </rPr>
      <t xml:space="preserve">학부모 또는 선생님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라우팅</t>
    </r>
    <r>
      <rPr>
        <sz val="11"/>
        <color theme="1"/>
        <rFont val="Noto Sans"/>
        <family val="0"/>
        <charset val="1"/>
      </rPr>
      <t xml:space="preserve">)/FCM · </t>
    </r>
    <r>
      <rPr>
        <sz val="11"/>
        <color theme="1"/>
        <rFont val="Noto Sans CJK SC"/>
        <family val="2"/>
      </rPr>
      <t xml:space="preserve">방화벽 해제 승인요청</t>
    </r>
    <r>
      <rPr>
        <sz val="11"/>
        <color theme="1"/>
        <rFont val="Noto Sans"/>
        <family val="0"/>
        <charset val="1"/>
      </rPr>
      <t xml:space="preserve">:</t>
    </r>
    <r>
      <rPr>
        <sz val="11"/>
        <color theme="1"/>
        <rFont val="Noto Sans CJK SC"/>
        <family val="2"/>
      </rPr>
      <t xml:space="preserve">라우팅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알림톡 </t>
    </r>
    <r>
      <rPr>
        <sz val="11"/>
        <color theme="1"/>
        <rFont val="Noto Sans"/>
        <family val="0"/>
        <charset val="1"/>
      </rPr>
      <t xml:space="preserve">· </t>
    </r>
    <r>
      <rPr>
        <sz val="11"/>
        <color theme="1"/>
        <rFont val="Noto Sans CJK SC"/>
        <family val="2"/>
      </rPr>
      <t xml:space="preserve">벌점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전자기기 적발</t>
    </r>
    <r>
      <rPr>
        <sz val="11"/>
        <color theme="1"/>
        <rFont val="Noto Sans"/>
        <family val="0"/>
        <charset val="1"/>
      </rPr>
      <t xml:space="preserve">:</t>
    </r>
    <r>
      <rPr>
        <sz val="11"/>
        <color theme="1"/>
        <rFont val="Noto Sans CJK SC"/>
        <family val="2"/>
      </rPr>
      <t xml:space="preserve">학부모</t>
    </r>
    <r>
      <rPr>
        <sz val="11"/>
        <color theme="1"/>
        <rFont val="Noto Sans"/>
        <family val="0"/>
        <charset val="1"/>
      </rPr>
      <t xml:space="preserve">/FCM · Daily Report:</t>
    </r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학부모</t>
    </r>
    <r>
      <rPr>
        <sz val="11"/>
        <color theme="1"/>
        <rFont val="Noto Sans"/>
        <family val="0"/>
        <charset val="1"/>
      </rPr>
      <t xml:space="preserve">/FCM(</t>
    </r>
    <r>
      <rPr>
        <sz val="11"/>
        <color theme="1"/>
        <rFont val="Noto Sans CJK SC"/>
        <family val="2"/>
      </rPr>
      <t xml:space="preserve">알림톡 병행 </t>
    </r>
    <r>
      <rPr>
        <sz val="11"/>
        <color theme="1"/>
        <rFont val="Noto Sans"/>
        <family val="0"/>
        <charset val="1"/>
      </rPr>
      <t xml:space="preserve">TBD) · </t>
    </r>
    <r>
      <rPr>
        <sz val="11"/>
        <color theme="1"/>
        <rFont val="Noto Sans CJK SC"/>
        <family val="2"/>
      </rPr>
      <t xml:space="preserve">앱 메시지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공지</t>
    </r>
    <r>
      <rPr>
        <sz val="11"/>
        <color theme="1"/>
        <rFont val="Noto Sans"/>
        <family val="0"/>
        <charset val="1"/>
      </rPr>
      <t xml:space="preserve">:</t>
    </r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학부모</t>
    </r>
    <r>
      <rPr>
        <sz val="11"/>
        <color theme="1"/>
        <rFont val="Noto Sans"/>
        <family val="0"/>
        <charset val="1"/>
      </rPr>
      <t xml:space="preserve">/FCM · </t>
    </r>
    <r>
      <rPr>
        <sz val="11"/>
        <color theme="1"/>
        <rFont val="Noto Sans CJK SC"/>
        <family val="2"/>
      </rPr>
      <t xml:space="preserve">급식 가상계좌 입금완료</t>
    </r>
    <r>
      <rPr>
        <sz val="11"/>
        <color theme="1"/>
        <rFont val="Noto Sans"/>
        <family val="0"/>
        <charset val="1"/>
      </rPr>
      <t xml:space="preserve">:</t>
    </r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학부모</t>
    </r>
    <r>
      <rPr>
        <sz val="11"/>
        <color theme="1"/>
        <rFont val="Noto Sans"/>
        <family val="0"/>
        <charset val="1"/>
      </rPr>
      <t xml:space="preserve">/FCM
▷[0803] </t>
    </r>
    <r>
      <rPr>
        <sz val="11"/>
        <color theme="1"/>
        <rFont val="Noto Sans CJK SC"/>
        <family val="2"/>
      </rPr>
      <t xml:space="preserve">순찰 졸음 알림 삭제</t>
    </r>
    <r>
      <rPr>
        <sz val="11"/>
        <color theme="1"/>
        <rFont val="Noto Sans"/>
        <family val="0"/>
        <charset val="1"/>
      </rPr>
      <t xml:space="preserve">. iOS APNs .p8 </t>
    </r>
    <r>
      <rPr>
        <sz val="11"/>
        <color theme="1"/>
        <rFont val="Noto Sans CJK SC"/>
        <family val="2"/>
      </rPr>
      <t xml:space="preserve">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백그라운드 모드</t>
    </r>
    <r>
      <rPr>
        <sz val="11"/>
        <color theme="1"/>
        <rFont val="Noto Sans"/>
        <family val="0"/>
        <charset val="1"/>
      </rPr>
      <t xml:space="preserve">, Android </t>
    </r>
    <r>
      <rPr>
        <sz val="11"/>
        <color theme="1"/>
        <rFont val="Noto Sans CJK SC"/>
        <family val="2"/>
      </rPr>
      <t xml:space="preserve">채널 중요도 설정 필요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포그라운드 표시는 </t>
    </r>
    <r>
      <rPr>
        <sz val="11"/>
        <color theme="1"/>
        <rFont val="Noto Sans"/>
        <family val="0"/>
        <charset val="1"/>
      </rPr>
      <t xml:space="preserve">flutter_local_notifications. </t>
    </r>
    <r>
      <rPr>
        <sz val="11"/>
        <color theme="1"/>
        <rFont val="Noto Sans CJK SC"/>
        <family val="2"/>
      </rPr>
      <t xml:space="preserve">딥링크는 화이트리스트 검증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오픈 리다이렉트 방지</t>
    </r>
    <r>
      <rPr>
        <sz val="11"/>
        <color theme="1"/>
        <rFont val="Noto Sans"/>
        <family val="0"/>
        <charset val="1"/>
      </rPr>
      <t xml:space="preserve">)</t>
    </r>
  </si>
  <si>
    <t xml:space="preserve">POST /api/v1/push/token</t>
  </si>
  <si>
    <t xml:space="preserve">F-4.4-1, F-4.12-2</t>
  </si>
  <si>
    <t xml:space="preserve">#45(E-7), #34(I-14), #24(I-4)</t>
  </si>
  <si>
    <t xml:space="preserve">A-C4</t>
  </si>
  <si>
    <r>
      <rPr>
        <sz val="11"/>
        <color theme="1"/>
        <rFont val="Noto Sans"/>
        <family val="0"/>
        <charset val="1"/>
      </rPr>
      <t xml:space="preserve">Flavor · CI/CD · </t>
    </r>
    <r>
      <rPr>
        <sz val="11"/>
        <color theme="1"/>
        <rFont val="Noto Sans CJK SC"/>
        <family val="2"/>
      </rPr>
      <t xml:space="preserve">스토어 배포</t>
    </r>
  </si>
  <si>
    <r>
      <rPr>
        <sz val="11"/>
        <color theme="1"/>
        <rFont val="Noto Sans"/>
        <family val="0"/>
        <charset val="1"/>
      </rPr>
      <t xml:space="preserve">dev/stg/prod 3 flavor(</t>
    </r>
    <r>
      <rPr>
        <sz val="11"/>
        <color theme="1"/>
        <rFont val="Noto Sans CJK SC"/>
        <family val="2"/>
      </rPr>
      <t xml:space="preserve">번들</t>
    </r>
    <r>
      <rPr>
        <sz val="11"/>
        <color theme="1"/>
        <rFont val="Noto Sans"/>
        <family val="0"/>
        <charset val="1"/>
      </rPr>
      <t xml:space="preserve">ID·API URL·Firebase </t>
    </r>
    <r>
      <rPr>
        <sz val="11"/>
        <color theme="1"/>
        <rFont val="Noto Sans CJK SC"/>
        <family val="2"/>
      </rPr>
      <t xml:space="preserve">프로젝트 분리</t>
    </r>
    <r>
      <rPr>
        <sz val="11"/>
        <color theme="1"/>
        <rFont val="Noto Sans"/>
        <family val="0"/>
        <charset val="1"/>
      </rPr>
      <t xml:space="preserve">), GitHub Actions + Fastlane </t>
    </r>
    <r>
      <rPr>
        <sz val="11"/>
        <color theme="1"/>
        <rFont val="Noto Sans CJK SC"/>
        <family val="2"/>
      </rPr>
      <t xml:space="preserve">자동 배포</t>
    </r>
  </si>
  <si>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키는 서버 보관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앱 미보관</t>
    </r>
    <r>
      <rPr>
        <sz val="11"/>
        <color theme="1"/>
        <rFont val="Noto Sans"/>
        <family val="0"/>
        <charset val="1"/>
      </rPr>
      <t xml:space="preserve">), WebView </t>
    </r>
    <r>
      <rPr>
        <sz val="11"/>
        <color theme="1"/>
        <rFont val="Noto Sans CJK SC"/>
        <family val="2"/>
      </rPr>
      <t xml:space="preserve">도메인 화이트리스트를 </t>
    </r>
    <r>
      <rPr>
        <sz val="11"/>
        <color theme="1"/>
        <rFont val="Noto Sans"/>
        <family val="0"/>
        <charset val="1"/>
      </rPr>
      <t xml:space="preserve">flavor</t>
    </r>
    <r>
      <rPr>
        <sz val="11"/>
        <color theme="1"/>
        <rFont val="Noto Sans CJK SC"/>
        <family val="2"/>
      </rPr>
      <t xml:space="preserve">별 주입</t>
    </r>
    <r>
      <rPr>
        <sz val="11"/>
        <color theme="1"/>
        <rFont val="Noto Sans"/>
        <family val="0"/>
        <charset val="1"/>
      </rPr>
      <t xml:space="preserve">. iOS TestFlight / Android </t>
    </r>
    <r>
      <rPr>
        <sz val="11"/>
        <color theme="1"/>
        <rFont val="Noto Sans CJK SC"/>
        <family val="2"/>
      </rPr>
      <t xml:space="preserve">내부테스트 트랙을 </t>
    </r>
    <r>
      <rPr>
        <sz val="11"/>
        <color theme="1"/>
        <rFont val="Noto Sans"/>
        <family val="0"/>
        <charset val="1"/>
      </rPr>
      <t xml:space="preserve">Phase 0</t>
    </r>
    <r>
      <rPr>
        <sz val="11"/>
        <color theme="1"/>
        <rFont val="Noto Sans CJK SC"/>
        <family val="2"/>
      </rPr>
      <t xml:space="preserve">에 선개설 — </t>
    </r>
    <r>
      <rPr>
        <sz val="11"/>
        <color theme="1"/>
        <rFont val="Noto Sans"/>
        <family val="0"/>
        <charset val="1"/>
      </rPr>
      <t xml:space="preserve">12</t>
    </r>
    <r>
      <rPr>
        <sz val="11"/>
        <color theme="1"/>
        <rFont val="Noto Sans CJK SC"/>
        <family val="2"/>
      </rPr>
      <t xml:space="preserve">월 본심사 반려 리스크 완충</t>
    </r>
    <r>
      <rPr>
        <sz val="11"/>
        <color theme="1"/>
        <rFont val="Noto Sans"/>
        <family val="0"/>
        <charset val="1"/>
      </rPr>
      <t xml:space="preserve">. 🔴 </t>
    </r>
    <r>
      <rPr>
        <sz val="11"/>
        <color theme="1"/>
        <rFont val="Noto Sans CJK SC"/>
        <family val="2"/>
      </rPr>
      <t xml:space="preserve">스토어 계정 </t>
    </r>
    <r>
      <rPr>
        <sz val="11"/>
        <color theme="1"/>
        <rFont val="Noto Sans"/>
        <family val="0"/>
        <charset val="1"/>
      </rPr>
      <t xml:space="preserve">= DSD </t>
    </r>
    <r>
      <rPr>
        <sz val="11"/>
        <color theme="1"/>
        <rFont val="Noto Sans CJK SC"/>
        <family val="2"/>
      </rPr>
      <t xml:space="preserve">보유 → 권한 위임 방식 확정 필요</t>
    </r>
    <r>
      <rPr>
        <sz val="11"/>
        <color theme="1"/>
        <rFont val="Noto Sans"/>
        <family val="0"/>
        <charset val="1"/>
      </rPr>
      <t xml:space="preserve">(S-5)</t>
    </r>
  </si>
  <si>
    <r>
      <rPr>
        <sz val="11"/>
        <color theme="1"/>
        <rFont val="Noto Sans"/>
        <family val="0"/>
        <charset val="1"/>
      </rPr>
      <t xml:space="preserve">F-4.12-3 </t>
    </r>
    <r>
      <rPr>
        <sz val="11"/>
        <color theme="1"/>
        <rFont val="Noto Sans CJK SC"/>
        <family val="2"/>
      </rPr>
      <t xml:space="preserve">앱 버전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배포 관리</t>
    </r>
  </si>
  <si>
    <t xml:space="preserve">A-X1</t>
  </si>
  <si>
    <r>
      <rPr>
        <sz val="11"/>
        <color theme="1"/>
        <rFont val="Noto Sans CJK SC"/>
        <family val="2"/>
      </rPr>
      <t xml:space="preserve">관리자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현장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앱</t>
    </r>
  </si>
  <si>
    <r>
      <rPr>
        <sz val="11"/>
        <color theme="1"/>
        <rFont val="Noto Sans CJK SC"/>
        <family val="2"/>
      </rPr>
      <t xml:space="preserve">순찰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승인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상담일지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상벌점을 관리자가 앱에서 처리하는 역할 — </t>
    </r>
    <r>
      <rPr>
        <sz val="11"/>
        <color theme="1"/>
        <rFont val="Noto Sans"/>
        <family val="0"/>
        <charset val="1"/>
      </rPr>
      <t xml:space="preserve">0803 </t>
    </r>
    <r>
      <rPr>
        <sz val="11"/>
        <color theme="1"/>
        <rFont val="Noto Sans CJK SC"/>
        <family val="2"/>
      </rPr>
      <t xml:space="preserve">폐기</t>
    </r>
  </si>
  <si>
    <r>
      <rPr>
        <sz val="11"/>
        <color theme="1"/>
        <rFont val="Noto Sans CJK SC"/>
        <family val="2"/>
      </rPr>
      <t xml:space="preserve">앱 사용자는 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학부모 </t>
    </r>
    <r>
      <rPr>
        <sz val="11"/>
        <color theme="1"/>
        <rFont val="Noto Sans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역할로 축소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관리자 기능은 통합관리프로그램 </t>
    </r>
    <r>
      <rPr>
        <sz val="11"/>
        <color theme="1"/>
        <rFont val="Noto Sans"/>
        <family val="0"/>
        <charset val="1"/>
      </rPr>
      <t xml:space="preserve">[4.12 </t>
    </r>
    <r>
      <rPr>
        <sz val="11"/>
        <color theme="1"/>
        <rFont val="Noto Sans CJK SC"/>
        <family val="2"/>
      </rPr>
      <t xml:space="preserve">앱 관리</t>
    </r>
    <r>
      <rPr>
        <sz val="11"/>
        <color theme="1"/>
        <rFont val="Noto Sans"/>
        <family val="0"/>
        <charset val="1"/>
      </rPr>
      <t xml:space="preserve">] </t>
    </r>
    <r>
      <rPr>
        <sz val="11"/>
        <color theme="1"/>
        <rFont val="Noto Sans CJK SC"/>
        <family val="2"/>
      </rPr>
      <t xml:space="preserve">및 각 도메인 화면에서 처리</t>
    </r>
    <r>
      <rPr>
        <sz val="11"/>
        <color theme="1"/>
        <rFont val="Noto Sans"/>
        <family val="0"/>
        <charset val="1"/>
      </rPr>
      <t xml:space="preserve">. go_router </t>
    </r>
    <r>
      <rPr>
        <sz val="11"/>
        <color theme="1"/>
        <rFont val="Noto Sans CJK SC"/>
        <family val="2"/>
      </rPr>
      <t xml:space="preserve">역할 분기에서 </t>
    </r>
    <r>
      <rPr>
        <sz val="11"/>
        <color theme="1"/>
        <rFont val="Noto Sans"/>
        <family val="0"/>
        <charset val="1"/>
      </rPr>
      <t xml:space="preserve">ADMIN Shell </t>
    </r>
    <r>
      <rPr>
        <sz val="11"/>
        <color theme="1"/>
        <rFont val="Noto Sans CJK SC"/>
        <family val="2"/>
      </rPr>
      <t xml:space="preserve">제거</t>
    </r>
  </si>
  <si>
    <t xml:space="preserve">F-4.12-1~3</t>
  </si>
  <si>
    <t xml:space="preserve">A-X2</t>
  </si>
  <si>
    <r>
      <rPr>
        <sz val="11"/>
        <color theme="1"/>
        <rFont val="Noto Sans CJK SC"/>
        <family val="2"/>
      </rPr>
      <t xml:space="preserve">사감 순찰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구역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스캔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</si>
  <si>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mobile_scanner </t>
    </r>
    <r>
      <rPr>
        <sz val="11"/>
        <color theme="1"/>
        <rFont val="Noto Sans CJK SC"/>
        <family val="2"/>
      </rPr>
      <t xml:space="preserve">구역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스캔 → 학생 상태 기록 — </t>
    </r>
    <r>
      <rPr>
        <sz val="11"/>
        <color theme="1"/>
        <rFont val="Noto Sans"/>
        <family val="0"/>
        <charset val="1"/>
      </rPr>
      <t xml:space="preserve">0803 </t>
    </r>
    <r>
      <rPr>
        <sz val="11"/>
        <color theme="1"/>
        <rFont val="Noto Sans CJK SC"/>
        <family val="2"/>
      </rPr>
      <t xml:space="preserve">폐기</t>
    </r>
  </si>
  <si>
    <r>
      <rPr>
        <sz val="11"/>
        <color theme="1"/>
        <rFont val="Noto Sans CJK SC"/>
        <family val="2"/>
      </rPr>
      <t xml:space="preserve">좌석 이탈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복귀 현황 표시</t>
    </r>
    <r>
      <rPr>
        <sz val="11"/>
        <color theme="1"/>
        <rFont val="Noto Sans"/>
        <family val="0"/>
        <charset val="1"/>
      </rPr>
      <t xml:space="preserve">(A-5)</t>
    </r>
    <r>
      <rPr>
        <sz val="11"/>
        <color theme="1"/>
        <rFont val="Noto Sans CJK SC"/>
        <family val="2"/>
      </rPr>
      <t xml:space="preserve">로 대체</t>
    </r>
    <r>
      <rPr>
        <sz val="11"/>
        <color theme="1"/>
        <rFont val="Noto Sans"/>
        <family val="0"/>
        <charset val="1"/>
      </rPr>
      <t xml:space="preserve">. mobile_scanner </t>
    </r>
    <r>
      <rPr>
        <sz val="11"/>
        <color theme="1"/>
        <rFont val="Noto Sans CJK SC"/>
        <family val="2"/>
      </rPr>
      <t xml:space="preserve">의존성 제거</t>
    </r>
  </si>
  <si>
    <t xml:space="preserve">A-X3</t>
  </si>
  <si>
    <t xml:space="preserve">학부모 카카오 로그인</t>
  </si>
  <si>
    <r>
      <rPr>
        <sz val="11"/>
        <color theme="1"/>
        <rFont val="Noto Sans CJK SC"/>
        <family val="2"/>
      </rPr>
      <t xml:space="preserve">카카오 로그인 → 학생 연락처 입력 → 자동 매핑 — </t>
    </r>
    <r>
      <rPr>
        <sz val="11"/>
        <color theme="1"/>
        <rFont val="Noto Sans"/>
        <family val="0"/>
        <charset val="1"/>
      </rPr>
      <t xml:space="preserve">0803 </t>
    </r>
    <r>
      <rPr>
        <sz val="11"/>
        <color theme="1"/>
        <rFont val="Noto Sans CJK SC"/>
        <family val="2"/>
      </rPr>
      <t xml:space="preserve">폐기</t>
    </r>
  </si>
  <si>
    <r>
      <rPr>
        <sz val="11"/>
        <color theme="1"/>
        <rFont val="Noto Sans CJK SC"/>
        <family val="2"/>
      </rPr>
      <t xml:space="preserve">아이디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비밀번호 로그인으로 통일</t>
    </r>
    <r>
      <rPr>
        <sz val="11"/>
        <color theme="1"/>
        <rFont val="Noto Sans"/>
        <family val="0"/>
        <charset val="1"/>
      </rPr>
      <t xml:space="preserve">(A-1). </t>
    </r>
    <r>
      <rPr>
        <sz val="11"/>
        <color theme="1"/>
        <rFont val="Noto Sans CJK SC"/>
        <family val="2"/>
      </rPr>
      <t xml:space="preserve">카카오 로그인 앱키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검수 선결조건</t>
    </r>
    <r>
      <rPr>
        <sz val="11"/>
        <color theme="1"/>
        <rFont val="Noto Sans"/>
        <family val="0"/>
        <charset val="1"/>
      </rPr>
      <t xml:space="preserve">(A3) </t>
    </r>
    <r>
      <rPr>
        <sz val="11"/>
        <color theme="1"/>
        <rFont val="Noto Sans CJK SC"/>
        <family val="2"/>
      </rPr>
      <t xml:space="preserve">삭제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카카오 알림톡</t>
    </r>
    <r>
      <rPr>
        <sz val="11"/>
        <color theme="1"/>
        <rFont val="Noto Sans"/>
        <family val="0"/>
        <charset val="1"/>
      </rPr>
      <t xml:space="preserve">(E-5)</t>
    </r>
    <r>
      <rPr>
        <sz val="11"/>
        <color theme="1"/>
        <rFont val="Noto Sans CJK SC"/>
        <family val="2"/>
      </rPr>
      <t xml:space="preserve">은 별개로 유지</t>
    </r>
  </si>
  <si>
    <t xml:space="preserve">A-X4</t>
  </si>
  <si>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보류</t>
    </r>
    <r>
      <rPr>
        <sz val="11"/>
        <color theme="1"/>
        <rFont val="Noto Sans"/>
        <family val="0"/>
        <charset val="1"/>
      </rPr>
      <t xml:space="preserve">] </t>
    </r>
    <r>
      <rPr>
        <sz val="11"/>
        <color theme="1"/>
        <rFont val="Noto Sans CJK SC"/>
        <family val="2"/>
      </rPr>
      <t xml:space="preserve">이력 보존</t>
    </r>
  </si>
  <si>
    <t xml:space="preserve">교재 판매 웹뷰</t>
  </si>
  <si>
    <r>
      <rPr>
        <sz val="11"/>
        <color theme="1"/>
        <rFont val="Noto Sans CJK SC"/>
        <family val="2"/>
      </rPr>
      <t xml:space="preserve">보류</t>
    </r>
    <r>
      <rPr>
        <sz val="11"/>
        <color theme="1"/>
        <rFont val="Noto Sans"/>
        <family val="0"/>
        <charset val="1"/>
      </rPr>
      <t xml:space="preserve">(0803)</t>
    </r>
  </si>
  <si>
    <r>
      <rPr>
        <sz val="11"/>
        <color theme="1"/>
        <rFont val="Noto Sans"/>
        <family val="0"/>
        <charset val="1"/>
      </rPr>
      <t xml:space="preserve">D.Lab </t>
    </r>
    <r>
      <rPr>
        <sz val="11"/>
        <color theme="1"/>
        <rFont val="Noto Sans CJK SC"/>
        <family val="2"/>
      </rPr>
      <t xml:space="preserve">교재 판매 웹뷰</t>
    </r>
    <r>
      <rPr>
        <sz val="11"/>
        <color theme="1"/>
        <rFont val="Noto Sans"/>
        <family val="0"/>
        <charset val="1"/>
      </rPr>
      <t xml:space="preserve">(2027-12</t>
    </r>
    <r>
      <rPr>
        <sz val="11"/>
        <color theme="1"/>
        <rFont val="Noto Sans CJK SC"/>
        <family val="2"/>
      </rPr>
      <t xml:space="preserve">까지</t>
    </r>
    <r>
      <rPr>
        <sz val="11"/>
        <color theme="1"/>
        <rFont val="Noto Sans"/>
        <family val="0"/>
        <charset val="1"/>
      </rPr>
      <t xml:space="preserve">) — 0803 </t>
    </r>
    <r>
      <rPr>
        <sz val="11"/>
        <color theme="1"/>
        <rFont val="Noto Sans CJK SC"/>
        <family val="2"/>
      </rPr>
      <t xml:space="preserve">보류</t>
    </r>
  </si>
  <si>
    <r>
      <rPr>
        <sz val="11"/>
        <color theme="1"/>
        <rFont val="Noto Sans"/>
        <family val="0"/>
        <charset val="1"/>
      </rPr>
      <t xml:space="preserve">webview_flutter </t>
    </r>
    <r>
      <rPr>
        <sz val="11"/>
        <color theme="1"/>
        <rFont val="Noto Sans CJK SC"/>
        <family val="2"/>
      </rPr>
      <t xml:space="preserve">임베드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세션 전달 방식 확정 필요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진행 확정 시 </t>
    </r>
    <r>
      <rPr>
        <sz val="11"/>
        <color theme="1"/>
        <rFont val="Noto Sans"/>
        <family val="0"/>
        <charset val="1"/>
      </rPr>
      <t xml:space="preserve">Phase 4</t>
    </r>
    <r>
      <rPr>
        <sz val="11"/>
        <color theme="1"/>
        <rFont val="Noto Sans CJK SC"/>
        <family val="2"/>
      </rPr>
      <t xml:space="preserve">에 재편입</t>
    </r>
  </si>
  <si>
    <t xml:space="preserve">#12(S-3)</t>
  </si>
  <si>
    <r>
      <rPr>
        <b val="true"/>
        <sz val="13"/>
        <color rgb="FF1F4E78"/>
        <rFont val="Noto Sans CJK SC"/>
        <family val="2"/>
      </rPr>
      <t xml:space="preserve">데이터</t>
    </r>
    <r>
      <rPr>
        <b val="true"/>
        <sz val="13"/>
        <color rgb="FF1F4E78"/>
        <rFont val="Noto Sans"/>
        <family val="0"/>
        <charset val="1"/>
      </rPr>
      <t xml:space="preserve">·</t>
    </r>
    <r>
      <rPr>
        <b val="true"/>
        <sz val="13"/>
        <color rgb="FF1F4E78"/>
        <rFont val="Noto Sans CJK SC"/>
        <family val="2"/>
      </rPr>
      <t xml:space="preserve">업무로직 정의 </t>
    </r>
    <r>
      <rPr>
        <b val="true"/>
        <sz val="13"/>
        <color rgb="FF1F4E78"/>
        <rFont val="Noto Sans"/>
        <family val="0"/>
        <charset val="1"/>
      </rPr>
      <t xml:space="preserve">(v2.0 · 2026-08-03)</t>
    </r>
  </si>
  <si>
    <r>
      <rPr>
        <sz val="11"/>
        <color theme="1"/>
        <rFont val="Noto Sans CJK SC"/>
        <family val="2"/>
      </rPr>
      <t xml:space="preserve">여러 화면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문서에 걸쳐 반복 확인된 상태전이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계산식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채번규칙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저장방식 통합 정리 </t>
    </r>
    <r>
      <rPr>
        <sz val="11"/>
        <color theme="1"/>
        <rFont val="Noto Sans"/>
        <family val="0"/>
        <charset val="1"/>
      </rPr>
      <t xml:space="preserve">+ 0803 </t>
    </r>
    <r>
      <rPr>
        <sz val="11"/>
        <color theme="1"/>
        <rFont val="Noto Sans CJK SC"/>
        <family val="2"/>
      </rPr>
      <t xml:space="preserve">확정사항 반영</t>
    </r>
  </si>
  <si>
    <t xml:space="preserve">① 상태값 전이표</t>
  </si>
  <si>
    <t xml:space="preserve">도메인</t>
  </si>
  <si>
    <t xml:space="preserve">상태값</t>
  </si>
  <si>
    <t xml:space="preserve">의미</t>
  </si>
  <si>
    <r>
      <rPr>
        <b val="true"/>
        <sz val="11"/>
        <color rgb="FFFFFFFF"/>
        <rFont val="Noto Sans CJK SC"/>
        <family val="2"/>
      </rPr>
      <t xml:space="preserve">허용 전이 </t>
    </r>
    <r>
      <rPr>
        <b val="true"/>
        <sz val="11"/>
        <color rgb="FFFFFFFF"/>
        <rFont val="Noto Sans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액션</t>
    </r>
  </si>
  <si>
    <t xml:space="preserve">비고</t>
  </si>
  <si>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재적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</si>
  <si>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재원</t>
    </r>
    <r>
      <rPr>
        <sz val="11"/>
        <color theme="1"/>
        <rFont val="Noto Sans"/>
        <family val="0"/>
        <charset val="1"/>
      </rPr>
      <t xml:space="preserve">(ENROLLED) → </t>
    </r>
    <r>
      <rPr>
        <sz val="11"/>
        <color theme="1"/>
        <rFont val="Noto Sans CJK SC"/>
        <family val="2"/>
      </rPr>
      <t xml:space="preserve">휴원</t>
    </r>
    <r>
      <rPr>
        <sz val="11"/>
        <color theme="1"/>
        <rFont val="Noto Sans"/>
        <family val="0"/>
        <charset val="1"/>
      </rPr>
      <t xml:space="preserve">(LEAVE) → </t>
    </r>
    <r>
      <rPr>
        <sz val="11"/>
        <color theme="1"/>
        <rFont val="Noto Sans CJK SC"/>
        <family val="2"/>
      </rPr>
      <t xml:space="preserve">재원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퇴원</t>
    </r>
    <r>
      <rPr>
        <sz val="11"/>
        <color theme="1"/>
        <rFont val="Noto Sans"/>
        <family val="0"/>
        <charset val="1"/>
      </rPr>
      <t xml:space="preserve">(WITHDRAWN) / </t>
    </r>
    <r>
      <rPr>
        <sz val="11"/>
        <color theme="1"/>
        <rFont val="Noto Sans CJK SC"/>
        <family val="2"/>
      </rPr>
      <t xml:space="preserve">제적</t>
    </r>
    <r>
      <rPr>
        <sz val="11"/>
        <color theme="1"/>
        <rFont val="Noto Sans"/>
        <family val="0"/>
        <charset val="1"/>
      </rPr>
      <t xml:space="preserve">(EXPELLED) / </t>
    </r>
    <r>
      <rPr>
        <sz val="11"/>
        <color theme="1"/>
        <rFont val="Noto Sans CJK SC"/>
        <family val="2"/>
      </rPr>
      <t xml:space="preserve">수료</t>
    </r>
    <r>
      <rPr>
        <sz val="11"/>
        <color theme="1"/>
        <rFont val="Noto Sans"/>
        <family val="0"/>
        <charset val="1"/>
      </rPr>
      <t xml:space="preserve">(GRADUATED)</t>
    </r>
  </si>
  <si>
    <t xml:space="preserve">학생 재적 상태</t>
  </si>
  <si>
    <r>
      <rPr>
        <sz val="11"/>
        <color theme="1"/>
        <rFont val="Noto Sans CJK SC"/>
        <family val="2"/>
      </rPr>
      <t xml:space="preserve">상태 전이 시 배정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좌석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사물함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해제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급식 정기신청 중단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 계정 비활성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미납 채권 이관을 트랜잭션으로 연결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</si>
  <si>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신규 정의</t>
    </r>
    <r>
      <rPr>
        <sz val="11"/>
        <color theme="1"/>
        <rFont val="Noto Sans"/>
        <family val="0"/>
        <charset val="1"/>
      </rPr>
      <t xml:space="preserve">. DSA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재원생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퇴원생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필터만 확인 — 전이 규칙 자체는 신규</t>
    </r>
  </si>
  <si>
    <t xml:space="preserve">앱 온보딩</t>
  </si>
  <si>
    <t xml:space="preserve">REGISTERED → OT_DONE → PARENT_LINKED → SCHEDULE_SET → ACTIVE</t>
  </si>
  <si>
    <r>
      <rPr>
        <sz val="11"/>
        <color theme="1"/>
        <rFont val="Noto Sans CJK SC"/>
        <family val="2"/>
      </rPr>
      <t xml:space="preserve">학생 앱 가입 후 사용 개시까지 </t>
    </r>
    <r>
      <rPr>
        <sz val="11"/>
        <color theme="1"/>
        <rFont val="Noto Sans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단계</t>
    </r>
  </si>
  <si>
    <r>
      <rPr>
        <sz val="11"/>
        <color theme="1"/>
        <rFont val="Noto Sans CJK SC"/>
        <family val="2"/>
      </rPr>
      <t xml:space="preserve">각 단계 미완료 시 다음 단계로 강제 라우팅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신상기록부</t>
    </r>
    <r>
      <rPr>
        <sz val="11"/>
        <color theme="1"/>
        <rFont val="Noto Sans"/>
        <family val="0"/>
        <charset val="1"/>
      </rPr>
      <t xml:space="preserve">(F-4.11-8) </t>
    </r>
    <r>
      <rPr>
        <sz val="11"/>
        <color theme="1"/>
        <rFont val="Noto Sans CJK SC"/>
        <family val="2"/>
      </rPr>
      <t xml:space="preserve">미작성 시 등록 미완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</si>
  <si>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신규 편입</t>
    </r>
    <r>
      <rPr>
        <sz val="11"/>
        <color theme="1"/>
        <rFont val="Noto Sans"/>
        <family val="0"/>
        <charset val="1"/>
      </rPr>
      <t xml:space="preserve">. OT(</t>
    </r>
    <r>
      <rPr>
        <sz val="11"/>
        <color theme="1"/>
        <rFont val="Noto Sans CJK SC"/>
        <family val="2"/>
      </rPr>
      <t xml:space="preserve">대면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게이트 범위 미확정</t>
    </r>
    <r>
      <rPr>
        <sz val="11"/>
        <color theme="1"/>
        <rFont val="Noto Sans"/>
        <family val="0"/>
        <charset val="1"/>
      </rPr>
      <t xml:space="preserve">(#44 I-24)</t>
    </r>
  </si>
  <si>
    <r>
      <rPr>
        <sz val="11"/>
        <color theme="1"/>
        <rFont val="Noto Sans CJK SC"/>
        <family val="2"/>
      </rPr>
      <t xml:space="preserve">대기중 → 전환완료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삭제</t>
    </r>
  </si>
  <si>
    <t xml:space="preserve">입학예약자 등록 후 순번 대기</t>
  </si>
  <si>
    <r>
      <rPr>
        <sz val="11"/>
        <color theme="1"/>
        <rFont val="Noto Sans CJK SC"/>
        <family val="2"/>
      </rPr>
      <t xml:space="preserve">순번알림 자동발송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관리자 개별메시지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원생 전환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원클릭</t>
    </r>
    <r>
      <rPr>
        <sz val="11"/>
        <color theme="1"/>
        <rFont val="Noto Sans"/>
        <family val="0"/>
        <charset val="1"/>
      </rPr>
      <t xml:space="preserve">)+</t>
    </r>
    <r>
      <rPr>
        <sz val="11"/>
        <color theme="1"/>
        <rFont val="Noto Sans CJK SC"/>
        <family val="2"/>
      </rPr>
      <t xml:space="preserve">앱 초대알림</t>
    </r>
  </si>
  <si>
    <r>
      <rPr>
        <sz val="11"/>
        <color theme="1"/>
        <rFont val="Noto Sans CJK SC"/>
        <family val="2"/>
      </rPr>
      <t xml:space="preserve">대성 폼</t>
    </r>
    <r>
      <rPr>
        <sz val="11"/>
        <color theme="1"/>
        <rFont val="Noto Sans"/>
        <family val="0"/>
        <charset val="1"/>
      </rPr>
      <t xml:space="preserve">(D-7) </t>
    </r>
    <r>
      <rPr>
        <sz val="11"/>
        <color theme="1"/>
        <rFont val="Noto Sans CJK SC"/>
        <family val="2"/>
      </rPr>
      <t xml:space="preserve">확정 전까지 스키마 가변</t>
    </r>
  </si>
  <si>
    <t xml:space="preserve">입학예약 상담</t>
  </si>
  <si>
    <r>
      <rPr>
        <sz val="11"/>
        <color theme="1"/>
        <rFont val="Noto Sans CJK SC"/>
        <family val="2"/>
      </rPr>
      <t xml:space="preserve">접수 → 배정 → 상담완료 → 전환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대기자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원생</t>
    </r>
    <r>
      <rPr>
        <sz val="11"/>
        <color theme="1"/>
        <rFont val="Noto Sans"/>
        <family val="0"/>
        <charset val="1"/>
      </rPr>
      <t xml:space="preserve">) / </t>
    </r>
    <r>
      <rPr>
        <sz val="11"/>
        <color theme="1"/>
        <rFont val="Noto Sans CJK SC"/>
        <family val="2"/>
      </rPr>
      <t xml:space="preserve">종결</t>
    </r>
  </si>
  <si>
    <r>
      <rPr>
        <sz val="11"/>
        <color theme="1"/>
        <rFont val="Noto Sans"/>
        <family val="0"/>
        <charset val="1"/>
      </rPr>
      <t xml:space="preserve">D.Lab </t>
    </r>
    <r>
      <rPr>
        <sz val="11"/>
        <color theme="1"/>
        <rFont val="Noto Sans CJK SC"/>
        <family val="2"/>
      </rPr>
      <t xml:space="preserve">사이트 상담신청 유입 건</t>
    </r>
  </si>
  <si>
    <r>
      <rPr>
        <sz val="11"/>
        <color theme="1"/>
        <rFont val="Noto Sans CJK SC"/>
        <family val="2"/>
      </rPr>
      <t xml:space="preserve">중복 신청 병합 규칙 필요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상담 결과에 따라 대기자 등록 연계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</si>
  <si>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신규 편입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신청 프론트는 기구축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백오피스만 신규</t>
    </r>
  </si>
  <si>
    <t xml:space="preserve">ON_TIME / LATE / ABSENT / OUT / EXCUSED</t>
  </si>
  <si>
    <r>
      <rPr>
        <sz val="11"/>
        <color theme="1"/>
        <rFont val="Noto Sans CJK SC"/>
        <family val="2"/>
      </rPr>
      <t xml:space="preserve">키오스크 태깅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카드 또는 앱 </t>
    </r>
    <r>
      <rPr>
        <sz val="11"/>
        <color theme="1"/>
        <rFont val="Noto Sans"/>
        <family val="0"/>
        <charset val="1"/>
      </rPr>
      <t xml:space="preserve">QR) </t>
    </r>
    <r>
      <rPr>
        <sz val="11"/>
        <color theme="1"/>
        <rFont val="Noto Sans CJK SC"/>
        <family val="2"/>
      </rPr>
      <t xml:space="preserve">기반 자동 판정</t>
    </r>
  </si>
  <si>
    <r>
      <rPr>
        <sz val="11"/>
        <color theme="1"/>
        <rFont val="Noto Sans CJK SC"/>
        <family val="2"/>
      </rPr>
      <t xml:space="preserve">결석은 배치 스케줄러로 최종 확정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전이 후 알림</t>
    </r>
    <r>
      <rPr>
        <sz val="11"/>
        <color theme="1"/>
        <rFont val="Noto Sans"/>
        <family val="0"/>
        <charset val="1"/>
      </rPr>
      <t xml:space="preserve">+</t>
    </r>
    <r>
      <rPr>
        <sz val="11"/>
        <color theme="1"/>
        <rFont val="Noto Sans CJK SC"/>
        <family val="2"/>
      </rPr>
      <t xml:space="preserve">상벌점 자동 트리거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</si>
  <si>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앱 동적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경로 추가 — 동일 상태머신 사용</t>
    </r>
  </si>
  <si>
    <r>
      <rPr>
        <sz val="11"/>
        <color theme="1"/>
        <rFont val="Noto Sans CJK SC"/>
        <family val="2"/>
      </rPr>
      <t xml:space="preserve">좌석 이탈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복귀</t>
    </r>
  </si>
  <si>
    <r>
      <rPr>
        <sz val="11"/>
        <color theme="1"/>
        <rFont val="Noto Sans CJK SC"/>
        <family val="2"/>
      </rPr>
      <t xml:space="preserve">재석</t>
    </r>
    <r>
      <rPr>
        <sz val="11"/>
        <color theme="1"/>
        <rFont val="Noto Sans"/>
        <family val="0"/>
        <charset val="1"/>
      </rPr>
      <t xml:space="preserve">(IN_SEAT) → </t>
    </r>
    <r>
      <rPr>
        <sz val="11"/>
        <color theme="1"/>
        <rFont val="Noto Sans CJK SC"/>
        <family val="2"/>
      </rPr>
      <t xml:space="preserve">이탈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강의실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화장실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공용공간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교과실</t>
    </r>
    <r>
      <rPr>
        <sz val="11"/>
        <color theme="1"/>
        <rFont val="Noto Sans"/>
        <family val="0"/>
        <charset val="1"/>
      </rPr>
      <t xml:space="preserve">) → </t>
    </r>
    <r>
      <rPr>
        <sz val="11"/>
        <color theme="1"/>
        <rFont val="Noto Sans CJK SC"/>
        <family val="2"/>
      </rPr>
      <t xml:space="preserve">복귀</t>
    </r>
  </si>
  <si>
    <t xml:space="preserve">키오스크에서 학생이 위치 선택</t>
  </si>
  <si>
    <r>
      <rPr>
        <sz val="11"/>
        <color theme="1"/>
        <rFont val="Noto Sans CJK SC"/>
        <family val="2"/>
      </rPr>
      <t xml:space="preserve">이탈 시각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복귀 시각 기록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장시간 미복귀 임계값 초과 시 알림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순공시간 산출에 반영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</si>
  <si>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순찰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공부중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졸음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좌석없음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상태모델 폐기 후 대체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위치 구분값 마스터 확정 필요</t>
    </r>
    <r>
      <rPr>
        <sz val="11"/>
        <color theme="1"/>
        <rFont val="Noto Sans"/>
        <family val="0"/>
        <charset val="1"/>
      </rPr>
      <t xml:space="preserve">(#36 I-16)</t>
    </r>
  </si>
  <si>
    <t xml:space="preserve">정기일정</t>
  </si>
  <si>
    <r>
      <rPr>
        <sz val="11"/>
        <color theme="1"/>
        <rFont val="Noto Sans CJK SC"/>
        <family val="2"/>
      </rPr>
      <t xml:space="preserve">등록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또는 등록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관리자</t>
    </r>
    <r>
      <rPr>
        <sz val="11"/>
        <color theme="1"/>
        <rFont val="Noto Sans"/>
        <family val="0"/>
        <charset val="1"/>
      </rPr>
      <t xml:space="preserve">) → </t>
    </r>
    <r>
      <rPr>
        <sz val="11"/>
        <color theme="1"/>
        <rFont val="Noto Sans CJK SC"/>
        <family val="2"/>
      </rPr>
      <t xml:space="preserve">승인 → 인정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미인정</t>
    </r>
  </si>
  <si>
    <t xml:space="preserve">월 단위 외부 일정</t>
  </si>
  <si>
    <r>
      <rPr>
        <sz val="11"/>
        <color theme="1"/>
        <rFont val="Noto Sans CJK SC"/>
        <family val="2"/>
      </rPr>
      <t xml:space="preserve">등록시간 대비 실제 출입 </t>
    </r>
    <r>
      <rPr>
        <sz val="11"/>
        <color theme="1"/>
        <rFont val="Noto Sans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 이상 차이 시 미인정 → 벌점 부여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관리자 등록분은 </t>
    </r>
    <r>
      <rPr>
        <sz val="11"/>
        <color theme="1"/>
        <rFont val="Noto Sans"/>
        <family val="0"/>
        <charset val="1"/>
      </rPr>
      <t xml:space="preserve">AUTO </t>
    </r>
    <r>
      <rPr>
        <sz val="11"/>
        <color theme="1"/>
        <rFont val="Noto Sans CJK SC"/>
        <family val="2"/>
      </rPr>
      <t xml:space="preserve">승인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</si>
  <si>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관리자 등록 트랙 추가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중복 처리 규칙 미확정</t>
    </r>
    <r>
      <rPr>
        <sz val="11"/>
        <color theme="1"/>
        <rFont val="Noto Sans"/>
        <family val="0"/>
        <charset val="1"/>
      </rPr>
      <t xml:space="preserve">(#48 I-27)</t>
    </r>
  </si>
  <si>
    <t xml:space="preserve">방화벽 해제</t>
  </si>
  <si>
    <r>
      <rPr>
        <sz val="11"/>
        <color theme="1"/>
        <rFont val="Noto Sans CJK SC"/>
        <family val="2"/>
      </rPr>
      <t xml:space="preserve">신청 → 승인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반려 → 해제중 → 만료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자동 차단</t>
    </r>
    <r>
      <rPr>
        <sz val="11"/>
        <color theme="1"/>
        <rFont val="Noto Sans"/>
        <family val="0"/>
        <charset val="1"/>
      </rPr>
      <t xml:space="preserve">) / </t>
    </r>
    <r>
      <rPr>
        <sz val="11"/>
        <color theme="1"/>
        <rFont val="Noto Sans CJK SC"/>
        <family val="2"/>
      </rPr>
      <t xml:space="preserve">위반차단</t>
    </r>
  </si>
  <si>
    <r>
      <rPr>
        <sz val="11"/>
        <color theme="1"/>
        <rFont val="Noto Sans CJK SC"/>
        <family val="2"/>
      </rPr>
      <t xml:space="preserve">최대 </t>
    </r>
    <r>
      <rPr>
        <sz val="11"/>
        <color theme="1"/>
        <rFont val="Noto Sans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시간 단위 해제</t>
    </r>
  </si>
  <si>
    <r>
      <rPr>
        <sz val="11"/>
        <color theme="1"/>
        <rFont val="Noto Sans CJK SC"/>
        <family val="2"/>
      </rPr>
      <t xml:space="preserve">승인 즉시 </t>
    </r>
    <r>
      <rPr>
        <sz val="11"/>
        <color theme="1"/>
        <rFont val="Noto Sans"/>
        <family val="0"/>
        <charset val="1"/>
      </rPr>
      <t xml:space="preserve">Nebula API </t>
    </r>
    <r>
      <rPr>
        <sz val="11"/>
        <color theme="1"/>
        <rFont val="Noto Sans CJK SC"/>
        <family val="2"/>
      </rPr>
      <t xml:space="preserve">호출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만료 스케줄러가 자동 차단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위반 </t>
    </r>
    <r>
      <rPr>
        <sz val="11"/>
        <color theme="1"/>
        <rFont val="Noto Sans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회 적발 시 </t>
    </r>
    <r>
      <rPr>
        <sz val="11"/>
        <color theme="1"/>
        <rFont val="Noto Sans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주 신청 제한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</si>
  <si>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신규 편입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제어 단위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단말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정책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미확정</t>
    </r>
    <r>
      <rPr>
        <sz val="11"/>
        <color theme="1"/>
        <rFont val="Noto Sans"/>
        <family val="0"/>
        <charset val="1"/>
      </rPr>
      <t xml:space="preserve">(#15 E-1)</t>
    </r>
  </si>
  <si>
    <r>
      <rPr>
        <sz val="11"/>
        <color theme="1"/>
        <rFont val="Noto Sans CJK SC"/>
        <family val="2"/>
      </rPr>
      <t xml:space="preserve">신청 → 결제대기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가상계좌 </t>
    </r>
    <r>
      <rPr>
        <sz val="11"/>
        <color theme="1"/>
        <rFont val="Noto Sans"/>
        <family val="0"/>
        <charset val="1"/>
      </rPr>
      <t xml:space="preserve">ISSUED) → </t>
    </r>
    <r>
      <rPr>
        <sz val="11"/>
        <color theme="1"/>
        <rFont val="Noto Sans CJK SC"/>
        <family val="2"/>
      </rPr>
      <t xml:space="preserve">확정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취소요청 → 취소완료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만료</t>
    </r>
  </si>
  <si>
    <r>
      <rPr>
        <sz val="11"/>
        <color theme="1"/>
        <rFont val="Noto Sans CJK SC"/>
        <family val="2"/>
      </rPr>
      <t xml:space="preserve">카드는 즉시확정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가상계좌는 </t>
    </r>
    <r>
      <rPr>
        <sz val="11"/>
        <color theme="1"/>
        <rFont val="Noto Sans"/>
        <family val="0"/>
        <charset val="1"/>
      </rPr>
      <t xml:space="preserve">10</t>
    </r>
    <r>
      <rPr>
        <sz val="11"/>
        <color theme="1"/>
        <rFont val="Noto Sans CJK SC"/>
        <family val="2"/>
      </rPr>
      <t xml:space="preserve">분 주기 스케줄러가 만료 처리</t>
    </r>
  </si>
  <si>
    <r>
      <rPr>
        <sz val="11"/>
        <color theme="1"/>
        <rFont val="Noto Sans CJK SC"/>
        <family val="2"/>
      </rPr>
      <t xml:space="preserve">앱취소</t>
    </r>
    <r>
      <rPr>
        <sz val="11"/>
        <color theme="1"/>
        <rFont val="Noto Sans"/>
        <family val="0"/>
        <charset val="1"/>
      </rPr>
      <t xml:space="preserve">(3</t>
    </r>
    <r>
      <rPr>
        <sz val="11"/>
        <color theme="1"/>
        <rFont val="Noto Sans CJK SC"/>
        <family val="2"/>
      </rPr>
      <t xml:space="preserve">일전</t>
    </r>
    <r>
      <rPr>
        <sz val="11"/>
        <color theme="1"/>
        <rFont val="Noto Sans"/>
        <family val="0"/>
        <charset val="1"/>
      </rPr>
      <t xml:space="preserve">, PG</t>
    </r>
    <r>
      <rPr>
        <sz val="11"/>
        <color theme="1"/>
        <rFont val="Noto Sans CJK SC"/>
        <family val="2"/>
      </rPr>
      <t xml:space="preserve">자동환불</t>
    </r>
    <r>
      <rPr>
        <sz val="11"/>
        <color theme="1"/>
        <rFont val="Noto Sans"/>
        <family val="0"/>
        <charset val="1"/>
      </rPr>
      <t xml:space="preserve">) vs </t>
    </r>
    <r>
      <rPr>
        <sz val="11"/>
        <color theme="1"/>
        <rFont val="Noto Sans CJK SC"/>
        <family val="2"/>
      </rPr>
      <t xml:space="preserve">관리자취소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즉시</t>
    </r>
    <r>
      <rPr>
        <sz val="11"/>
        <color theme="1"/>
        <rFont val="Noto Sans"/>
        <family val="0"/>
        <charset val="1"/>
      </rPr>
      <t xml:space="preserve">) 2</t>
    </r>
    <r>
      <rPr>
        <sz val="11"/>
        <color theme="1"/>
        <rFont val="Noto Sans CJK SC"/>
        <family val="2"/>
      </rPr>
      <t xml:space="preserve">트랙 분리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</si>
  <si>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디랩 자체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단일 연동 확정 — 벤더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분기 제거</t>
    </r>
  </si>
  <si>
    <r>
      <rPr>
        <sz val="11"/>
        <color theme="1"/>
        <rFont val="Noto Sans CJK SC"/>
        <family val="2"/>
      </rPr>
      <t xml:space="preserve">결제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수납</t>
    </r>
  </si>
  <si>
    <t xml:space="preserve">PENDING → ISSUED → PAID → CANCELLED / EXPIRED / REFUNDED</t>
  </si>
  <si>
    <r>
      <rPr>
        <sz val="11"/>
        <color theme="1"/>
        <rFont val="Noto Sans CJK SC"/>
        <family val="2"/>
      </rPr>
      <t xml:space="preserve">등록비</t>
    </r>
    <r>
      <rPr>
        <sz val="11"/>
        <color theme="1"/>
        <rFont val="Noto Sans"/>
        <family val="0"/>
        <charset val="1"/>
      </rPr>
      <t xml:space="preserve">(TUITION)·</t>
    </r>
    <r>
      <rPr>
        <sz val="11"/>
        <color theme="1"/>
        <rFont val="Noto Sans CJK SC"/>
        <family val="2"/>
      </rPr>
      <t xml:space="preserve">급식</t>
    </r>
    <r>
      <rPr>
        <sz val="11"/>
        <color theme="1"/>
        <rFont val="Noto Sans"/>
        <family val="0"/>
        <charset val="1"/>
      </rPr>
      <t xml:space="preserve">(MEAL) </t>
    </r>
    <r>
      <rPr>
        <sz val="11"/>
        <color theme="1"/>
        <rFont val="Noto Sans CJK SC"/>
        <family val="2"/>
      </rPr>
      <t xml:space="preserve">공통 라이프사이클</t>
    </r>
  </si>
  <si>
    <r>
      <rPr>
        <sz val="11"/>
        <color theme="1"/>
        <rFont val="Noto Sans CJK SC"/>
        <family val="2"/>
      </rPr>
      <t xml:space="preserve">청구생성 → 결제분기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카드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가상계좌</t>
    </r>
    <r>
      <rPr>
        <sz val="11"/>
        <color theme="1"/>
        <rFont val="Noto Sans"/>
        <family val="0"/>
        <charset val="1"/>
      </rPr>
      <t xml:space="preserve">) → </t>
    </r>
    <r>
      <rPr>
        <sz val="11"/>
        <color theme="1"/>
        <rFont val="Noto Sans CJK SC"/>
        <family val="2"/>
      </rPr>
      <t xml:space="preserve">수납반영 → 미납추출 → 환불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일할계산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환불은 </t>
    </r>
    <r>
      <rPr>
        <sz val="11"/>
        <color theme="1"/>
        <rFont val="Noto Sans"/>
        <family val="0"/>
        <charset val="1"/>
      </rPr>
      <t xml:space="preserve">REFUNDED </t>
    </r>
    <r>
      <rPr>
        <sz val="11"/>
        <color theme="1"/>
        <rFont val="Noto Sans CJK SC"/>
        <family val="2"/>
      </rPr>
      <t xml:space="preserve">별도 상태로 분리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</si>
  <si>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자체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대성전산 </t>
    </r>
    <r>
      <rPr>
        <sz val="11"/>
        <color theme="1"/>
        <rFont val="Noto Sans"/>
        <family val="0"/>
        <charset val="1"/>
      </rPr>
      <t xml:space="preserve">API</t>
    </r>
    <r>
      <rPr>
        <sz val="11"/>
        <color theme="1"/>
        <rFont val="Noto Sans CJK SC"/>
        <family val="2"/>
      </rPr>
      <t xml:space="preserve">는 과거 이력 이관 전용</t>
    </r>
  </si>
  <si>
    <t xml:space="preserve">데일리 루틴</t>
  </si>
  <si>
    <r>
      <rPr>
        <sz val="11"/>
        <color theme="1"/>
        <rFont val="Noto Sans CJK SC"/>
        <family val="2"/>
      </rPr>
      <t xml:space="preserve">예정 → 배부 → 제출 → 검수완료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) → </t>
    </r>
    <r>
      <rPr>
        <sz val="11"/>
        <color theme="1"/>
        <rFont val="Noto Sans CJK SC"/>
        <family val="2"/>
      </rPr>
      <t xml:space="preserve">앱노출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미제출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결시</t>
    </r>
  </si>
  <si>
    <t xml:space="preserve">오프라인 시험지 기반 교사 검수 구조</t>
  </si>
  <si>
    <r>
      <rPr>
        <sz val="11"/>
        <color theme="1"/>
        <rFont val="Noto Sans CJK SC"/>
        <family val="2"/>
      </rPr>
      <t xml:space="preserve">반 단위 일괄 입력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가채점 점수와 교사 검수 점수 분리 보관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불일치 추적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상벌점 근거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</si>
  <si>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신규 편입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검수확정 결과가 </t>
    </r>
    <r>
      <rPr>
        <sz val="11"/>
        <color theme="1"/>
        <rFont val="Noto Sans"/>
        <family val="0"/>
        <charset val="1"/>
      </rPr>
      <t xml:space="preserve">Daily Report '</t>
    </r>
    <r>
      <rPr>
        <sz val="11"/>
        <color theme="1"/>
        <rFont val="Noto Sans CJK SC"/>
        <family val="2"/>
      </rPr>
      <t xml:space="preserve">데일리테스트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원천</t>
    </r>
  </si>
  <si>
    <t xml:space="preserve">승인 라우팅</t>
  </si>
  <si>
    <r>
      <rPr>
        <sz val="11"/>
        <color theme="1"/>
        <rFont val="Noto Sans CJK SC"/>
        <family val="2"/>
      </rPr>
      <t xml:space="preserve">대기 → 승인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반려 </t>
    </r>
    <r>
      <rPr>
        <sz val="11"/>
        <color theme="1"/>
        <rFont val="Noto Sans"/>
        <family val="0"/>
        <charset val="1"/>
      </rPr>
      <t xml:space="preserve">(+ </t>
    </r>
    <r>
      <rPr>
        <sz val="11"/>
        <color theme="1"/>
        <rFont val="Noto Sans CJK SC"/>
        <family val="2"/>
      </rPr>
      <t xml:space="preserve">에스컬레이션</t>
    </r>
    <r>
      <rPr>
        <sz val="11"/>
        <color theme="1"/>
        <rFont val="Noto Sans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학부모 미응답 → 담임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</si>
  <si>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approver_type(PARENT/TEACHER/AUTO)</t>
    </r>
    <r>
      <rPr>
        <sz val="11"/>
        <color theme="1"/>
        <rFont val="Noto Sans CJK SC"/>
        <family val="2"/>
      </rPr>
      <t xml:space="preserve">에 따라 처리주체 상이</t>
    </r>
  </si>
  <si>
    <r>
      <rPr>
        <sz val="11"/>
        <color theme="1"/>
        <rFont val="Noto Sans CJK SC"/>
        <family val="2"/>
      </rPr>
      <t xml:space="preserve">항목별 매트릭스 미확정</t>
    </r>
    <r>
      <rPr>
        <sz val="11"/>
        <color theme="1"/>
        <rFont val="Noto Sans"/>
        <family val="0"/>
        <charset val="1"/>
      </rPr>
      <t xml:space="preserve">(#32 I-12), </t>
    </r>
    <r>
      <rPr>
        <sz val="11"/>
        <color theme="1"/>
        <rFont val="Noto Sans CJK SC"/>
        <family val="2"/>
      </rPr>
      <t xml:space="preserve">응답 제한시간 미확약</t>
    </r>
    <r>
      <rPr>
        <sz val="11"/>
        <color theme="1"/>
        <rFont val="Noto Sans"/>
        <family val="0"/>
        <charset val="1"/>
      </rPr>
      <t xml:space="preserve">(#40 I-20)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</si>
  <si>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학부모 최대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인 확정 → </t>
    </r>
    <r>
      <rPr>
        <sz val="11"/>
        <color theme="1"/>
        <rFont val="Noto Sans"/>
        <family val="0"/>
        <charset val="1"/>
      </rPr>
      <t xml:space="preserve">PARENT </t>
    </r>
    <r>
      <rPr>
        <sz val="11"/>
        <color theme="1"/>
        <rFont val="Noto Sans CJK SC"/>
        <family val="2"/>
      </rPr>
      <t xml:space="preserve">대상은 단일 계정</t>
    </r>
  </si>
  <si>
    <r>
      <rPr>
        <sz val="11"/>
        <color theme="1"/>
        <rFont val="Noto Sans CJK SC"/>
        <family val="2"/>
      </rPr>
      <t xml:space="preserve">사용자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계정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</si>
  <si>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승인대기 → 승인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탈퇴</t>
    </r>
  </si>
  <si>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실사 화면상 이미 존재하는 상태값</t>
    </r>
  </si>
  <si>
    <r>
      <rPr>
        <sz val="11"/>
        <color theme="1"/>
        <rFont val="Noto Sans CJK SC"/>
        <family val="2"/>
      </rPr>
      <t xml:space="preserve">지점 선택 후 목록조회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상세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승인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탈퇴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삭제 처리</t>
    </r>
  </si>
  <si>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흐름은 </t>
    </r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에서 검증됨</t>
    </r>
    <r>
      <rPr>
        <sz val="11"/>
        <color theme="1"/>
        <rFont val="Noto Sans"/>
        <family val="0"/>
        <charset val="1"/>
      </rPr>
      <t xml:space="preserve">. RBAC </t>
    </r>
    <r>
      <rPr>
        <sz val="11"/>
        <color theme="1"/>
        <rFont val="Noto Sans CJK SC"/>
        <family val="2"/>
      </rPr>
      <t xml:space="preserve">세부 권한모델은 신규</t>
    </r>
    <r>
      <rPr>
        <sz val="11"/>
        <color theme="1"/>
        <rFont val="Noto Sans"/>
        <family val="0"/>
        <charset val="1"/>
      </rPr>
      <t xml:space="preserve">(4</t>
    </r>
    <r>
      <rPr>
        <sz val="11"/>
        <color theme="1"/>
        <rFont val="Noto Sans CJK SC"/>
        <family val="2"/>
      </rPr>
      <t xml:space="preserve">시트</t>
    </r>
    <r>
      <rPr>
        <sz val="11"/>
        <color theme="1"/>
        <rFont val="Noto Sans"/>
        <family val="0"/>
        <charset val="1"/>
      </rPr>
      <t xml:space="preserve">)</t>
    </r>
  </si>
  <si>
    <r>
      <rPr>
        <b val="true"/>
        <sz val="11"/>
        <color rgb="FF1F4E78"/>
        <rFont val="Noto Sans CJK SC"/>
        <family val="2"/>
      </rPr>
      <t xml:space="preserve">② 핵심 계산식 </t>
    </r>
    <r>
      <rPr>
        <b val="true"/>
        <sz val="11"/>
        <color rgb="FF1F4E78"/>
        <rFont val="Noto Sans"/>
        <family val="0"/>
        <charset val="1"/>
      </rPr>
      <t xml:space="preserve">/ </t>
    </r>
    <r>
      <rPr>
        <b val="true"/>
        <sz val="11"/>
        <color rgb="FF1F4E78"/>
        <rFont val="Noto Sans CJK SC"/>
        <family val="2"/>
      </rPr>
      <t xml:space="preserve">산출 로직</t>
    </r>
  </si>
  <si>
    <t xml:space="preserve">항목</t>
  </si>
  <si>
    <r>
      <rPr>
        <b val="true"/>
        <sz val="11"/>
        <color rgb="FFFFFFFF"/>
        <rFont val="Noto Sans CJK SC"/>
        <family val="2"/>
      </rPr>
      <t xml:space="preserve">계산식 </t>
    </r>
    <r>
      <rPr>
        <b val="true"/>
        <sz val="11"/>
        <color rgb="FFFFFFFF"/>
        <rFont val="Noto Sans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로직</t>
    </r>
  </si>
  <si>
    <t xml:space="preserve">검증 상태</t>
  </si>
  <si>
    <t xml:space="preserve">근거</t>
  </si>
  <si>
    <t xml:space="preserve">학번 채번</t>
  </si>
  <si>
    <r>
      <rPr>
        <sz val="11"/>
        <color theme="1"/>
        <rFont val="Noto Sans"/>
        <family val="0"/>
        <charset val="1"/>
      </rPr>
      <t xml:space="preserve">year + %04d(nextSeq) → 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Noto Sans"/>
        <family val="0"/>
        <charset val="1"/>
      </rPr>
      <t xml:space="preserve">: 2026-0001</t>
    </r>
  </si>
  <si>
    <r>
      <rPr>
        <sz val="11"/>
        <color theme="1"/>
        <rFont val="Noto Sans CJK SC"/>
        <family val="2"/>
      </rPr>
      <t xml:space="preserve">요구사항 검증</t>
    </r>
    <r>
      <rPr>
        <sz val="11"/>
        <color theme="1"/>
        <rFont val="Noto Sans"/>
        <family val="0"/>
        <charset val="1"/>
      </rPr>
      <t xml:space="preserve">(DSA)</t>
    </r>
  </si>
  <si>
    <t xml:space="preserve">DSA F-4.1-4</t>
  </si>
  <si>
    <r>
      <rPr>
        <sz val="11"/>
        <color theme="1"/>
        <rFont val="Noto Sans"/>
        <family val="0"/>
        <charset val="1"/>
      </rPr>
      <t xml:space="preserve">UNIQUE(year, student_no), </t>
    </r>
    <r>
      <rPr>
        <sz val="11"/>
        <color theme="1"/>
        <rFont val="Noto Sans CJK SC"/>
        <family val="2"/>
      </rPr>
      <t xml:space="preserve">학번을 </t>
    </r>
    <r>
      <rPr>
        <sz val="11"/>
        <color theme="1"/>
        <rFont val="Noto Sans"/>
        <family val="0"/>
        <charset val="1"/>
      </rPr>
      <t xml:space="preserve">PK</t>
    </r>
    <r>
      <rPr>
        <sz val="11"/>
        <color theme="1"/>
        <rFont val="Noto Sans CJK SC"/>
        <family val="2"/>
      </rPr>
      <t xml:space="preserve">로 사용 금지</t>
    </r>
  </si>
  <si>
    <t xml:space="preserve">급식 가능일</t>
  </si>
  <si>
    <r>
      <rPr>
        <sz val="11"/>
        <color theme="1"/>
        <rFont val="Noto Sans"/>
        <family val="0"/>
        <charset val="1"/>
      </rPr>
      <t xml:space="preserve">MealPolicy.availableDates — </t>
    </r>
    <r>
      <rPr>
        <sz val="11"/>
        <color theme="1"/>
        <rFont val="Noto Sans CJK SC"/>
        <family val="2"/>
      </rPr>
      <t xml:space="preserve">주말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공휴일 제외</t>
    </r>
  </si>
  <si>
    <t xml:space="preserve">신규</t>
  </si>
  <si>
    <r>
      <rPr>
        <sz val="11"/>
        <color theme="1"/>
        <rFont val="Noto Sans CJK SC"/>
        <family val="2"/>
      </rPr>
      <t xml:space="preserve">기술문서 </t>
    </r>
    <r>
      <rPr>
        <sz val="11"/>
        <color theme="1"/>
        <rFont val="Noto Sans"/>
        <family val="0"/>
        <charset val="1"/>
      </rPr>
      <t xml:space="preserve">8.4</t>
    </r>
  </si>
  <si>
    <r>
      <rPr>
        <sz val="11"/>
        <color theme="1"/>
        <rFont val="Noto Sans CJK SC"/>
        <family val="2"/>
      </rPr>
      <t xml:space="preserve">공휴일 </t>
    </r>
    <r>
      <rPr>
        <sz val="11"/>
        <color theme="1"/>
        <rFont val="Noto Sans"/>
        <family val="0"/>
        <charset val="1"/>
      </rPr>
      <t xml:space="preserve">provider(Phase 0 </t>
    </r>
    <r>
      <rPr>
        <sz val="11"/>
        <color theme="1"/>
        <rFont val="Noto Sans CJK SC"/>
        <family val="2"/>
      </rPr>
      <t xml:space="preserve">공통모듈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의존</t>
    </r>
  </si>
  <si>
    <t xml:space="preserve">순공부시간 산출</t>
  </si>
  <si>
    <r>
      <rPr>
        <sz val="11"/>
        <color theme="1"/>
        <rFont val="Noto Sans CJK SC"/>
        <family val="2"/>
      </rPr>
      <t xml:space="preserve">정의 미확정 — 입퇴실 기준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좌석 이탈 시간 차감 여부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순찰 폐기로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순찰 기준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항목 삭제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좌석 이탈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복귀 로그 기준으로 재정의</t>
    </r>
  </si>
  <si>
    <t xml:space="preserve">확인 필요</t>
  </si>
  <si>
    <t xml:space="preserve">#26(I-6)</t>
  </si>
  <si>
    <r>
      <rPr>
        <sz val="11"/>
        <color theme="1"/>
        <rFont val="Noto Sans"/>
        <family val="0"/>
        <charset val="1"/>
      </rPr>
      <t xml:space="preserve">Daily Report·</t>
    </r>
    <r>
      <rPr>
        <sz val="11"/>
        <color theme="1"/>
        <rFont val="Noto Sans CJK SC"/>
        <family val="2"/>
      </rPr>
      <t xml:space="preserve">랭킹 설계 전 운영팀 확정 필요</t>
    </r>
  </si>
  <si>
    <t xml:space="preserve">상벌점 자동부여</t>
  </si>
  <si>
    <r>
      <rPr>
        <sz val="11"/>
        <color theme="1"/>
        <rFont val="Noto Sans"/>
        <family val="0"/>
        <charset val="1"/>
      </rPr>
      <t xml:space="preserve">PenaltyRuleEngine.apply(</t>
    </r>
    <r>
      <rPr>
        <sz val="11"/>
        <color theme="1"/>
        <rFont val="Noto Sans CJK SC"/>
        <family val="2"/>
      </rPr>
      <t xml:space="preserve">트리거</t>
    </r>
    <r>
      <rPr>
        <sz val="11"/>
        <color theme="1"/>
        <rFont val="Noto Sans"/>
        <family val="0"/>
        <charset val="1"/>
      </rPr>
      <t xml:space="preserve">) — </t>
    </r>
    <r>
      <rPr>
        <sz val="11"/>
        <color theme="1"/>
        <rFont val="Noto Sans CJK SC"/>
        <family val="2"/>
      </rPr>
      <t xml:space="preserve">트리거→점수 매핑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트리거 목록에서 </t>
    </r>
    <r>
      <rPr>
        <sz val="11"/>
        <color theme="1"/>
        <rFont val="Noto Sans"/>
        <family val="0"/>
        <charset val="1"/>
      </rPr>
      <t xml:space="preserve">PATROL_SLEEP_2(2</t>
    </r>
    <r>
      <rPr>
        <sz val="11"/>
        <color theme="1"/>
        <rFont val="Noto Sans CJK SC"/>
        <family val="2"/>
      </rPr>
      <t xml:space="preserve">회 연속 졸음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삭제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좌석 장시간 미복귀 트리거 신설 여부 검토</t>
    </r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</si>
  <si>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는 수기 점수부여만 확인</t>
    </r>
  </si>
  <si>
    <t xml:space="preserve">정기일정 인정 판정</t>
  </si>
  <si>
    <r>
      <rPr>
        <sz val="11"/>
        <color theme="1"/>
        <rFont val="Noto Sans"/>
        <family val="0"/>
        <charset val="1"/>
      </rPr>
      <t xml:space="preserve">ABS(</t>
    </r>
    <r>
      <rPr>
        <sz val="11"/>
        <color theme="1"/>
        <rFont val="Noto Sans CJK SC"/>
        <family val="2"/>
      </rPr>
      <t xml:space="preserve">등록 시각 − 실제 출입 시각</t>
    </r>
    <r>
      <rPr>
        <sz val="11"/>
        <color theme="1"/>
        <rFont val="Noto Sans"/>
        <family val="0"/>
        <charset val="1"/>
      </rPr>
      <t xml:space="preserve">) ≥ 30</t>
    </r>
    <r>
      <rPr>
        <sz val="11"/>
        <color theme="1"/>
        <rFont val="Noto Sans CJK SC"/>
        <family val="2"/>
      </rPr>
      <t xml:space="preserve">분 → 미인정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벌점 부여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</si>
  <si>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기획 </t>
    </r>
    <r>
      <rPr>
        <sz val="11"/>
        <color theme="1"/>
        <rFont val="Noto Sans"/>
        <family val="0"/>
        <charset val="1"/>
      </rPr>
      <t xml:space="preserve">3.4 /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8.2</t>
    </r>
  </si>
  <si>
    <r>
      <rPr>
        <sz val="11"/>
        <color theme="1"/>
        <rFont val="Noto Sans CJK SC"/>
        <family val="2"/>
      </rPr>
      <t xml:space="preserve">서버 판정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앱은 결과만 표시</t>
    </r>
  </si>
  <si>
    <t xml:space="preserve">학원비 환불 일할계산</t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</si>
  <si>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학원법 반환기준 — 교습기간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경과일수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기납부액 기준 잔여분 산출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산식 확정 및 시스템 산출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담당자 수기 조정 범위 확정 필요</t>
    </r>
  </si>
  <si>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취소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단순 호출로 대체 금지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청구기준</t>
    </r>
    <r>
      <rPr>
        <sz val="11"/>
        <color theme="1"/>
        <rFont val="Noto Sans"/>
        <family val="0"/>
        <charset val="1"/>
      </rPr>
      <t xml:space="preserve">(F-4.10-5) </t>
    </r>
    <r>
      <rPr>
        <sz val="11"/>
        <color theme="1"/>
        <rFont val="Noto Sans CJK SC"/>
        <family val="2"/>
      </rPr>
      <t xml:space="preserve">환불기준 데이터와 연동</t>
    </r>
  </si>
  <si>
    <t xml:space="preserve">학습계획 이행률</t>
  </si>
  <si>
    <r>
      <rPr>
        <sz val="11"/>
        <color theme="1"/>
        <rFont val="Noto Sans CJK SC"/>
        <family val="2"/>
      </rPr>
      <t xml:space="preserve">표시 방식 미확정 — </t>
    </r>
    <r>
      <rPr>
        <sz val="11"/>
        <color theme="1"/>
        <rFont val="Noto Sans"/>
        <family val="0"/>
        <charset val="1"/>
      </rPr>
      <t xml:space="preserve">%+</t>
    </r>
    <r>
      <rPr>
        <sz val="11"/>
        <color theme="1"/>
        <rFont val="Noto Sans CJK SC"/>
        <family val="2"/>
      </rPr>
      <t xml:space="preserve">드래그 </t>
    </r>
    <r>
      <rPr>
        <sz val="11"/>
        <color theme="1"/>
        <rFont val="Noto Sans"/>
        <family val="0"/>
        <charset val="1"/>
      </rPr>
      <t xml:space="preserve">/ ○△</t>
    </r>
    <r>
      <rPr>
        <sz val="11"/>
        <color theme="1"/>
        <rFont val="Noto Sans CJK SC"/>
        <family val="2"/>
      </rPr>
      <t xml:space="preserve">빈칸 </t>
    </r>
    <r>
      <rPr>
        <sz val="11"/>
        <color theme="1"/>
        <rFont val="Noto Sans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단계 중 택</t>
    </r>
    <r>
      <rPr>
        <sz val="11"/>
        <color theme="1"/>
        <rFont val="Noto Sans"/>
        <family val="0"/>
        <charset val="1"/>
      </rPr>
      <t xml:space="preserve">1. </t>
    </r>
    <r>
      <rPr>
        <sz val="11"/>
        <color theme="1"/>
        <rFont val="Noto Sans CJK SC"/>
        <family val="2"/>
      </rPr>
      <t xml:space="preserve">상담 리포트 별점</t>
    </r>
    <r>
      <rPr>
        <sz val="11"/>
        <color theme="1"/>
        <rFont val="Noto Sans"/>
        <family val="0"/>
        <charset val="1"/>
      </rPr>
      <t xml:space="preserve">(1~5)</t>
    </r>
    <r>
      <rPr>
        <sz val="11"/>
        <color theme="1"/>
        <rFont val="Noto Sans CJK SC"/>
        <family val="2"/>
      </rPr>
      <t xml:space="preserve">과 층위 정리 필요</t>
    </r>
  </si>
  <si>
    <t xml:space="preserve">#39(I-19)</t>
  </si>
  <si>
    <r>
      <rPr>
        <sz val="11"/>
        <color theme="1"/>
        <rFont val="Noto Sans CJK SC"/>
        <family val="2"/>
      </rPr>
      <t xml:space="preserve">진도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교재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인강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표시 방식은 별도 보류</t>
    </r>
    <r>
      <rPr>
        <sz val="11"/>
        <color theme="1"/>
        <rFont val="Noto Sans"/>
        <family val="0"/>
        <charset val="1"/>
      </rPr>
      <t xml:space="preserve">(#43 I-23)</t>
    </r>
  </si>
  <si>
    <t xml:space="preserve">교시 시간 편집</t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</si>
  <si>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학습계획 관리 화면에서 관리자가 </t>
    </r>
    <r>
      <rPr>
        <sz val="11"/>
        <color theme="1"/>
        <rFont val="Noto Sans"/>
        <family val="0"/>
        <charset val="1"/>
      </rPr>
      <t xml:space="preserve">20</t>
    </r>
    <r>
      <rPr>
        <sz val="11"/>
        <color theme="1"/>
        <rFont val="Noto Sans CJK SC"/>
        <family val="2"/>
      </rPr>
      <t xml:space="preserve">분 단위 또는 </t>
    </r>
    <r>
      <rPr>
        <sz val="11"/>
        <color theme="1"/>
        <rFont val="Noto Sans"/>
        <family val="0"/>
        <charset val="1"/>
      </rPr>
      <t xml:space="preserve">30</t>
    </r>
    <r>
      <rPr>
        <sz val="11"/>
        <color theme="1"/>
        <rFont val="Noto Sans CJK SC"/>
        <family val="2"/>
      </rPr>
      <t xml:space="preserve">분 단위로 교시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시간 직접 편집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단위 선택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</si>
  <si>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(0803)</t>
    </r>
  </si>
  <si>
    <t xml:space="preserve">클라이언트 확정</t>
  </si>
  <si>
    <r>
      <rPr>
        <sz val="11"/>
        <color theme="1"/>
        <rFont val="Noto Sans CJK SC"/>
        <family val="2"/>
      </rPr>
      <t xml:space="preserve">별도 교시 마스터 화면 신설하지 않음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변경 시 기존 계획 처리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스냅샷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소급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방침 필요</t>
    </r>
  </si>
  <si>
    <t xml:space="preserve">③ 채번 규칙</t>
  </si>
  <si>
    <t xml:space="preserve">대상</t>
  </si>
  <si>
    <t xml:space="preserve">규칙</t>
  </si>
  <si>
    <t xml:space="preserve">확정 여부</t>
  </si>
  <si>
    <t xml:space="preserve">출처</t>
  </si>
  <si>
    <r>
      <rPr>
        <sz val="11"/>
        <color theme="1"/>
        <rFont val="Noto Sans CJK SC"/>
        <family val="2"/>
      </rPr>
      <t xml:space="preserve">학번</t>
    </r>
    <r>
      <rPr>
        <sz val="11"/>
        <color theme="1"/>
        <rFont val="Noto Sans"/>
        <family val="0"/>
        <charset val="1"/>
      </rPr>
      <t xml:space="preserve">(students)</t>
    </r>
  </si>
  <si>
    <r>
      <rPr>
        <sz val="11"/>
        <color theme="1"/>
        <rFont val="Noto Sans"/>
        <family val="0"/>
        <charset val="1"/>
      </rPr>
      <t xml:space="preserve">year + seq (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Noto Sans"/>
        <family val="0"/>
        <charset val="1"/>
      </rPr>
      <t xml:space="preserve">: 2026-0001)</t>
    </r>
  </si>
  <si>
    <t xml:space="preserve">확정</t>
  </si>
  <si>
    <r>
      <rPr>
        <sz val="11"/>
        <color theme="1"/>
        <rFont val="Noto Sans CJK SC"/>
        <family val="2"/>
      </rPr>
      <t xml:space="preserve">기술문서 </t>
    </r>
    <r>
      <rPr>
        <sz val="11"/>
        <color theme="1"/>
        <rFont val="Noto Sans"/>
        <family val="0"/>
        <charset val="1"/>
      </rPr>
      <t xml:space="preserve">4.3</t>
    </r>
  </si>
  <si>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실사 요구사항과 일치</t>
    </r>
  </si>
  <si>
    <r>
      <rPr>
        <sz val="11"/>
        <color theme="1"/>
        <rFont val="Noto Sans CJK SC"/>
        <family val="2"/>
      </rPr>
      <t xml:space="preserve">수납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급식 통합 전표번호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</si>
  <si>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자체 신규 설계 확정 —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대성전산 채번 사용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전제 폐기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급식 주문번호와 통합 전표체계 권장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</si>
  <si>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(0803) · </t>
    </r>
    <r>
      <rPr>
        <sz val="11"/>
        <color theme="1"/>
        <rFont val="Noto Sans CJK SC"/>
        <family val="2"/>
      </rPr>
      <t xml:space="preserve">규칙 설계 필요</t>
    </r>
  </si>
  <si>
    <r>
      <rPr>
        <sz val="11"/>
        <color theme="1"/>
        <rFont val="Noto Sans CJK SC"/>
        <family val="2"/>
      </rPr>
      <t xml:space="preserve">실행가이드 </t>
    </r>
    <r>
      <rPr>
        <sz val="11"/>
        <color theme="1"/>
        <rFont val="Noto Sans"/>
        <family val="0"/>
        <charset val="1"/>
      </rPr>
      <t xml:space="preserve">Phase 2</t>
    </r>
  </si>
  <si>
    <r>
      <rPr>
        <sz val="11"/>
        <color theme="1"/>
        <rFont val="Noto Sans CJK SC"/>
        <family val="2"/>
      </rPr>
      <t xml:space="preserve">결제유형</t>
    </r>
    <r>
      <rPr>
        <sz val="11"/>
        <color theme="1"/>
        <rFont val="Noto Sans"/>
        <family val="0"/>
        <charset val="1"/>
      </rPr>
      <t xml:space="preserve">(TUITION|MEAL) </t>
    </r>
    <r>
      <rPr>
        <sz val="11"/>
        <color theme="1"/>
        <rFont val="Noto Sans CJK SC"/>
        <family val="2"/>
      </rPr>
      <t xml:space="preserve">구분자 포함 권장</t>
    </r>
  </si>
  <si>
    <t xml:space="preserve">환불 전표번호</t>
  </si>
  <si>
    <r>
      <rPr>
        <sz val="11"/>
        <color theme="1"/>
        <rFont val="Noto Sans CJK SC"/>
        <family val="2"/>
      </rPr>
      <t xml:space="preserve">원 전표번호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환불 시퀀스 연결 구조 필요</t>
    </r>
  </si>
  <si>
    <t xml:space="preserve">설계 필요</t>
  </si>
  <si>
    <r>
      <rPr>
        <sz val="11"/>
        <color theme="1"/>
        <rFont val="Noto Sans CJK SC"/>
        <family val="2"/>
      </rPr>
      <t xml:space="preserve">부분환불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재환불 대응</t>
    </r>
  </si>
  <si>
    <t xml:space="preserve">현금영수증 승인번호</t>
  </si>
  <si>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또는 국세청 발행 승인번호 저장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자체 채번 아님</t>
    </r>
    <r>
      <rPr>
        <sz val="11"/>
        <color theme="1"/>
        <rFont val="Noto Sans"/>
        <family val="0"/>
        <charset val="1"/>
      </rPr>
      <t xml:space="preserve">)</t>
    </r>
  </si>
  <si>
    <t xml:space="preserve">발급 채널 확정 후 필드 확정</t>
  </si>
  <si>
    <t xml:space="preserve">④ 화면 저장 방식 정책</t>
  </si>
  <si>
    <t xml:space="preserve">패턴</t>
  </si>
  <si>
    <r>
      <rPr>
        <b val="true"/>
        <sz val="11"/>
        <color rgb="FFFFFFFF"/>
        <rFont val="Noto Sans CJK SC"/>
        <family val="2"/>
      </rPr>
      <t xml:space="preserve">적용 화면</t>
    </r>
    <r>
      <rPr>
        <b val="true"/>
        <sz val="11"/>
        <color rgb="FFFFFFFF"/>
        <rFont val="Noto Sans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예상</t>
    </r>
    <r>
      <rPr>
        <b val="true"/>
        <sz val="11"/>
        <color rgb="FFFFFFFF"/>
        <rFont val="Noto Sans"/>
        <family val="0"/>
        <charset val="1"/>
      </rPr>
      <t xml:space="preserve">)</t>
    </r>
  </si>
  <si>
    <t xml:space="preserve">동작 방식</t>
  </si>
  <si>
    <t xml:space="preserve">구현 시 유의사항</t>
  </si>
  <si>
    <t xml:space="preserve">즉시반영형</t>
  </si>
  <si>
    <r>
      <rPr>
        <sz val="11"/>
        <color theme="1"/>
        <rFont val="Noto Sans CJK SC"/>
        <family val="2"/>
      </rPr>
      <t xml:space="preserve">상벌점 점수부여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출결 개별수정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사용자 승인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탈퇴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승인 처리 등 대부분 관리 화면</t>
    </r>
  </si>
  <si>
    <r>
      <rPr>
        <sz val="11"/>
        <color theme="1"/>
        <rFont val="Noto Sans CJK SC"/>
        <family val="2"/>
      </rPr>
      <t xml:space="preserve">등록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수정 버튼 클릭 즉시 </t>
    </r>
    <r>
      <rPr>
        <sz val="11"/>
        <color theme="1"/>
        <rFont val="Noto Sans"/>
        <family val="0"/>
        <charset val="1"/>
      </rPr>
      <t xml:space="preserve">DB </t>
    </r>
    <r>
      <rPr>
        <sz val="11"/>
        <color theme="1"/>
        <rFont val="Noto Sans CJK SC"/>
        <family val="2"/>
      </rPr>
      <t xml:space="preserve">반영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임시저장 없음</t>
    </r>
  </si>
  <si>
    <t xml:space="preserve">되돌리기 부재 시 오조작 리스크 — 확인 절차 필요</t>
  </si>
  <si>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실사에서 확인된 지배적 패턴</t>
    </r>
  </si>
  <si>
    <r>
      <rPr>
        <sz val="11"/>
        <color theme="1"/>
        <rFont val="Noto Sans CJK SC"/>
        <family val="2"/>
      </rPr>
      <t xml:space="preserve">임시저장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확정 </t>
    </r>
    <r>
      <rPr>
        <sz val="11"/>
        <color theme="1"/>
        <rFont val="Noto Sans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단계형</t>
    </r>
  </si>
  <si>
    <r>
      <rPr>
        <sz val="11"/>
        <color theme="1"/>
        <rFont val="Noto Sans CJK SC"/>
        <family val="2"/>
      </rPr>
      <t xml:space="preserve">급식 데스크 당일 신청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상담 리포트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초안→발송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데일리루틴 교사 검수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가채점→검수확정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</si>
  <si>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임시저장</t>
    </r>
    <r>
      <rPr>
        <sz val="11"/>
        <color theme="1"/>
        <rFont val="Noto Sans"/>
        <family val="0"/>
        <charset val="1"/>
      </rPr>
      <t xml:space="preserve">] </t>
    </r>
    <r>
      <rPr>
        <sz val="11"/>
        <color theme="1"/>
        <rFont val="Noto Sans CJK SC"/>
        <family val="2"/>
      </rPr>
      <t xml:space="preserve">초안 저장 후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발송</t>
    </r>
    <r>
      <rPr>
        <sz val="11"/>
        <color theme="1"/>
        <rFont val="Noto Sans"/>
        <family val="0"/>
        <charset val="1"/>
      </rPr>
      <t xml:space="preserve">]</t>
    </r>
    <r>
      <rPr>
        <sz val="11"/>
        <color theme="1"/>
        <rFont val="Noto Sans CJK SC"/>
        <family val="2"/>
      </rPr>
      <t xml:space="preserve">으로 최종 확정</t>
    </r>
  </si>
  <si>
    <t xml:space="preserve">임시저장 상태는 미반영임을 화면에 명확히 구분 표시</t>
  </si>
  <si>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대응 화면 없어 신규 설계</t>
    </r>
  </si>
  <si>
    <t xml:space="preserve">반 단위 그리드 일괄 입력형</t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</si>
  <si>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데일리루틴 결과 입력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전교생</t>
    </r>
    <r>
      <rPr>
        <sz val="11"/>
        <color theme="1"/>
        <rFont val="Noto Sans"/>
        <family val="0"/>
        <charset val="1"/>
      </rPr>
      <t xml:space="preserve">×1~2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학습계획 그리드</t>
    </r>
  </si>
  <si>
    <t xml:space="preserve">그리드에서 다건 편집 후 일괄 저장</t>
  </si>
  <si>
    <r>
      <rPr>
        <sz val="11"/>
        <color theme="1"/>
        <rFont val="Noto Sans CJK SC"/>
        <family val="2"/>
      </rPr>
      <t xml:space="preserve">키보드 입력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탭 이동 최적화 필수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개별 폼으로 설계 시 교사 사용률 급락</t>
    </r>
  </si>
  <si>
    <t xml:space="preserve">프로젝트 최대 입력 빈도 지점</t>
  </si>
  <si>
    <r>
      <rPr>
        <b val="true"/>
        <sz val="11"/>
        <color rgb="FF1F4E78"/>
        <rFont val="Noto Sans"/>
        <family val="0"/>
        <charset val="1"/>
      </rPr>
      <t xml:space="preserve">⑤ 2026-08-03 </t>
    </r>
    <r>
      <rPr>
        <b val="true"/>
        <sz val="11"/>
        <color rgb="FF1F4E78"/>
        <rFont val="Noto Sans CJK SC"/>
        <family val="2"/>
      </rPr>
      <t xml:space="preserve">클라이언트 확정사항 </t>
    </r>
    <r>
      <rPr>
        <b val="true"/>
        <sz val="11"/>
        <color rgb="FF1F4E78"/>
        <rFont val="Noto Sans"/>
        <family val="0"/>
        <charset val="1"/>
      </rPr>
      <t xml:space="preserve">(</t>
    </r>
    <r>
      <rPr>
        <b val="true"/>
        <sz val="11"/>
        <color rgb="FF1F4E78"/>
        <rFont val="Noto Sans CJK SC"/>
        <family val="2"/>
      </rPr>
      <t xml:space="preserve">설계 반영 기준</t>
    </r>
    <r>
      <rPr>
        <b val="true"/>
        <sz val="11"/>
        <color rgb="FF1F4E78"/>
        <rFont val="Noto Sans"/>
        <family val="0"/>
        <charset val="1"/>
      </rPr>
      <t xml:space="preserve">)</t>
    </r>
  </si>
  <si>
    <t xml:space="preserve">확정 내용</t>
  </si>
  <si>
    <r>
      <rPr>
        <b val="true"/>
        <sz val="11"/>
        <color rgb="FFFFFFFF"/>
        <rFont val="Noto Sans CJK SC"/>
        <family val="2"/>
      </rPr>
      <t xml:space="preserve">삭제</t>
    </r>
    <r>
      <rPr>
        <b val="true"/>
        <sz val="11"/>
        <color rgb="FFFFFFFF"/>
        <rFont val="Noto San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변경되는 설계</t>
    </r>
  </si>
  <si>
    <t xml:space="preserve">영향 도메인</t>
  </si>
  <si>
    <t xml:space="preserve">앱 역할</t>
  </si>
  <si>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= </t>
    </r>
    <r>
      <rPr>
        <sz val="11"/>
        <color theme="1"/>
        <rFont val="Noto Sans CJK SC"/>
        <family val="2"/>
      </rPr>
      <t xml:space="preserve">학생 </t>
    </r>
    <r>
      <rPr>
        <sz val="11"/>
        <color theme="1"/>
        <rFont val="Noto Sans"/>
        <family val="0"/>
        <charset val="1"/>
      </rPr>
      <t xml:space="preserve">· </t>
    </r>
    <r>
      <rPr>
        <sz val="11"/>
        <color theme="1"/>
        <rFont val="Noto Sans CJK SC"/>
        <family val="2"/>
      </rPr>
      <t xml:space="preserve">학부모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최대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인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관리자 역할 제거</t>
    </r>
  </si>
  <si>
    <r>
      <rPr>
        <sz val="11"/>
        <color theme="1"/>
        <rFont val="Noto Sans CJK SC"/>
        <family val="2"/>
      </rPr>
      <t xml:space="preserve">관리자 앱 </t>
    </r>
    <r>
      <rPr>
        <sz val="11"/>
        <color theme="1"/>
        <rFont val="Noto Sans"/>
        <family val="0"/>
        <charset val="1"/>
      </rPr>
      <t xml:space="preserve">ShellRoute·</t>
    </r>
    <r>
      <rPr>
        <sz val="11"/>
        <color theme="1"/>
        <rFont val="Noto Sans CJK SC"/>
        <family val="2"/>
      </rPr>
      <t xml:space="preserve">순찰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현장 승인 화면 삭제</t>
    </r>
  </si>
  <si>
    <r>
      <rPr>
        <sz val="11"/>
        <color theme="1"/>
        <rFont val="Noto Sans CJK SC"/>
        <family val="2"/>
      </rPr>
      <t xml:space="preserve">앱 전체</t>
    </r>
    <r>
      <rPr>
        <sz val="11"/>
        <color theme="1"/>
        <rFont val="Noto Sans"/>
        <family val="0"/>
        <charset val="1"/>
      </rPr>
      <t xml:space="preserve">, F-4.12-*</t>
    </r>
  </si>
  <si>
    <r>
      <rPr>
        <sz val="11"/>
        <color theme="1"/>
        <rFont val="Noto Sans CJK SC"/>
        <family val="2"/>
      </rPr>
      <t xml:space="preserve">카카오 로그인 폐기 → </t>
    </r>
    <r>
      <rPr>
        <sz val="11"/>
        <color theme="1"/>
        <rFont val="Noto Sans"/>
        <family val="0"/>
        <charset val="1"/>
      </rPr>
      <t xml:space="preserve">ID/PW </t>
    </r>
    <r>
      <rPr>
        <sz val="11"/>
        <color theme="1"/>
        <rFont val="Noto Sans CJK SC"/>
        <family val="2"/>
      </rPr>
      <t xml:space="preserve">통일</t>
    </r>
  </si>
  <si>
    <r>
      <rPr>
        <sz val="11"/>
        <color theme="1"/>
        <rFont val="Noto Sans CJK SC"/>
        <family val="2"/>
      </rPr>
      <t xml:space="preserve">카카오 로그인 </t>
    </r>
    <r>
      <rPr>
        <sz val="11"/>
        <color theme="1"/>
        <rFont val="Noto Sans"/>
        <family val="0"/>
        <charset val="1"/>
      </rPr>
      <t xml:space="preserve">SDK·</t>
    </r>
    <r>
      <rPr>
        <sz val="11"/>
        <color theme="1"/>
        <rFont val="Noto Sans CJK SC"/>
        <family val="2"/>
      </rPr>
      <t xml:space="preserve">앱키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검수 선결조건 삭제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알림톡은 유지</t>
    </r>
    <r>
      <rPr>
        <sz val="11"/>
        <color theme="1"/>
        <rFont val="Noto Sans"/>
        <family val="0"/>
        <charset val="1"/>
      </rPr>
      <t xml:space="preserve">)</t>
    </r>
  </si>
  <si>
    <t xml:space="preserve">A-1, A-2</t>
  </si>
  <si>
    <r>
      <rPr>
        <sz val="11"/>
        <color theme="1"/>
        <rFont val="Noto Sans CJK SC"/>
        <family val="2"/>
      </rPr>
      <t xml:space="preserve">앱 동적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채택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카드와 병행</t>
    </r>
    <r>
      <rPr>
        <sz val="11"/>
        <color theme="1"/>
        <rFont val="Noto Sans"/>
        <family val="0"/>
        <charset val="1"/>
      </rPr>
      <t xml:space="preserve">)</t>
    </r>
  </si>
  <si>
    <t xml:space="preserve">A-4, F-4.3-1</t>
  </si>
  <si>
    <t xml:space="preserve">순찰</t>
  </si>
  <si>
    <t xml:space="preserve">사감 순찰 전면 폐기 → 좌석 이탈 표시로 대체</t>
  </si>
  <si>
    <r>
      <rPr>
        <sz val="11"/>
        <color theme="1"/>
        <rFont val="Noto Sans"/>
        <family val="0"/>
        <charset val="1"/>
      </rPr>
      <t xml:space="preserve">patrol_logs → seat_move_logs </t>
    </r>
    <r>
      <rPr>
        <sz val="11"/>
        <color theme="1"/>
        <rFont val="Noto Sans CJK SC"/>
        <family val="2"/>
      </rPr>
      <t xml:space="preserve">재정의</t>
    </r>
    <r>
      <rPr>
        <sz val="11"/>
        <color theme="1"/>
        <rFont val="Noto Sans"/>
        <family val="0"/>
        <charset val="1"/>
      </rPr>
      <t xml:space="preserve">, PATROL_SLEEP_2 </t>
    </r>
    <r>
      <rPr>
        <sz val="11"/>
        <color theme="1"/>
        <rFont val="Noto Sans CJK SC"/>
        <family val="2"/>
      </rPr>
      <t xml:space="preserve">트리거 삭제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순공시간 산출식 재정의</t>
    </r>
  </si>
  <si>
    <r>
      <rPr>
        <sz val="11"/>
        <color theme="1"/>
        <rFont val="Noto Sans"/>
        <family val="0"/>
        <charset val="1"/>
      </rPr>
      <t xml:space="preserve">F-4.3-2, A-5, F-4.11-6, </t>
    </r>
    <r>
      <rPr>
        <sz val="11"/>
        <color theme="1"/>
        <rFont val="Noto Sans CJK SC"/>
        <family val="2"/>
      </rPr>
      <t xml:space="preserve">상벌점</t>
    </r>
  </si>
  <si>
    <t xml:space="preserve">좌석 이탈</t>
  </si>
  <si>
    <r>
      <rPr>
        <sz val="11"/>
        <color theme="1"/>
        <rFont val="Noto Sans CJK SC"/>
        <family val="2"/>
      </rPr>
      <t xml:space="preserve">입력 원천 </t>
    </r>
    <r>
      <rPr>
        <sz val="11"/>
        <color theme="1"/>
        <rFont val="Noto Sans"/>
        <family val="0"/>
        <charset val="1"/>
      </rPr>
      <t xml:space="preserve">= </t>
    </r>
    <r>
      <rPr>
        <sz val="11"/>
        <color theme="1"/>
        <rFont val="Noto Sans CJK SC"/>
        <family val="2"/>
      </rPr>
      <t xml:space="preserve">키오스크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앱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웹은 조회 전용</t>
    </r>
  </si>
  <si>
    <r>
      <rPr>
        <sz val="11"/>
        <color theme="1"/>
        <rFont val="Noto Sans CJK SC"/>
        <family val="2"/>
      </rPr>
      <t xml:space="preserve">앱 좌석이탈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신청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화면 삭제</t>
    </r>
    <r>
      <rPr>
        <sz val="11"/>
        <color theme="1"/>
        <rFont val="Noto Sans"/>
        <family val="0"/>
        <charset val="1"/>
      </rPr>
      <t xml:space="preserve">(v1.0 F-4.11-8 </t>
    </r>
    <r>
      <rPr>
        <sz val="11"/>
        <color theme="1"/>
        <rFont val="Noto Sans CJK SC"/>
        <family val="2"/>
      </rPr>
      <t xml:space="preserve">전제 폐기</t>
    </r>
    <r>
      <rPr>
        <sz val="11"/>
        <color theme="1"/>
        <rFont val="Noto Sans"/>
        <family val="0"/>
        <charset val="1"/>
      </rPr>
      <t xml:space="preserve">)</t>
    </r>
  </si>
  <si>
    <t xml:space="preserve">F-4.3-2, A-5</t>
  </si>
  <si>
    <r>
      <rPr>
        <sz val="11"/>
        <color theme="1"/>
        <rFont val="Noto Sans CJK SC"/>
        <family val="2"/>
      </rPr>
      <t xml:space="preserve">학생 앱 등록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관리자 페이지 담임 등록 </t>
    </r>
    <r>
      <rPr>
        <sz val="11"/>
        <color theme="1"/>
        <rFont val="Noto Sans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트랙</t>
    </r>
  </si>
  <si>
    <t xml:space="preserve">F-4.1-7, A-7</t>
  </si>
  <si>
    <t xml:space="preserve">결제</t>
  </si>
  <si>
    <r>
      <rPr>
        <sz val="11"/>
        <color theme="1"/>
        <rFont val="Noto Sans CJK SC"/>
        <family val="2"/>
      </rPr>
      <t xml:space="preserve">급식업체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연동 불요 → 디랩 자체 명의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단일 연동</t>
    </r>
  </si>
  <si>
    <r>
      <rPr>
        <sz val="11"/>
        <color theme="1"/>
        <rFont val="Noto Sans"/>
        <family val="0"/>
        <charset val="1"/>
      </rPr>
      <t xml:space="preserve">LunchVendorPgClient </t>
    </r>
    <r>
      <rPr>
        <sz val="11"/>
        <color theme="1"/>
        <rFont val="Noto Sans CJK SC"/>
        <family val="2"/>
      </rPr>
      <t xml:space="preserve">벤더 명의 전제 폐기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벤더 환불 위임 로직 삭제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대성전산 수납 </t>
    </r>
    <r>
      <rPr>
        <sz val="11"/>
        <color theme="1"/>
        <rFont val="Noto Sans"/>
        <family val="0"/>
        <charset val="1"/>
      </rPr>
      <t xml:space="preserve">write </t>
    </r>
    <r>
      <rPr>
        <sz val="11"/>
        <color theme="1"/>
        <rFont val="Noto Sans CJK SC"/>
        <family val="2"/>
      </rPr>
      <t xml:space="preserve">삭제</t>
    </r>
  </si>
  <si>
    <t xml:space="preserve">F-4.5, F-4.8-*, D-6/D-9/E-3/E-4</t>
  </si>
  <si>
    <t xml:space="preserve">수납</t>
  </si>
  <si>
    <r>
      <rPr>
        <sz val="11"/>
        <color theme="1"/>
        <rFont val="Noto Sans CJK SC"/>
        <family val="2"/>
      </rPr>
      <t xml:space="preserve">환불 일할계산 </t>
    </r>
    <r>
      <rPr>
        <sz val="11"/>
        <color theme="1"/>
        <rFont val="Noto Sans"/>
        <family val="0"/>
        <charset val="1"/>
      </rPr>
      <t xml:space="preserve">· </t>
    </r>
    <r>
      <rPr>
        <sz val="11"/>
        <color theme="1"/>
        <rFont val="Noto Sans CJK SC"/>
        <family val="2"/>
      </rPr>
      <t xml:space="preserve">현금영수증 </t>
    </r>
    <r>
      <rPr>
        <sz val="11"/>
        <color theme="1"/>
        <rFont val="Noto Sans"/>
        <family val="0"/>
        <charset val="1"/>
      </rPr>
      <t xml:space="preserve">· </t>
    </r>
    <r>
      <rPr>
        <sz val="11"/>
        <color theme="1"/>
        <rFont val="Noto Sans CJK SC"/>
        <family val="2"/>
      </rPr>
      <t xml:space="preserve">교육비 납입증명서 편입</t>
    </r>
  </si>
  <si>
    <t xml:space="preserve">F-4.8-2, F-4.8-3</t>
  </si>
  <si>
    <t xml:space="preserve">학습계획</t>
  </si>
  <si>
    <r>
      <rPr>
        <sz val="11"/>
        <color theme="1"/>
        <rFont val="Noto Sans CJK SC"/>
        <family val="2"/>
      </rPr>
      <t xml:space="preserve">교시 마스터 별도 화면 미신설 — 학습계획 화면에서 </t>
    </r>
    <r>
      <rPr>
        <sz val="11"/>
        <color theme="1"/>
        <rFont val="Noto Sans"/>
        <family val="0"/>
        <charset val="1"/>
      </rPr>
      <t xml:space="preserve">20/30</t>
    </r>
    <r>
      <rPr>
        <sz val="11"/>
        <color theme="1"/>
        <rFont val="Noto Sans CJK SC"/>
        <family val="2"/>
      </rPr>
      <t xml:space="preserve">분 단위 편집</t>
    </r>
  </si>
  <si>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교시 마스터 분리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설계 방침 폐기</t>
    </r>
  </si>
  <si>
    <t xml:space="preserve">진도</t>
  </si>
  <si>
    <r>
      <rPr>
        <sz val="11"/>
        <color theme="1"/>
        <rFont val="Noto Sans CJK SC"/>
        <family val="2"/>
      </rPr>
      <t xml:space="preserve">입력 주체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표시 방식</t>
    </r>
    <r>
      <rPr>
        <sz val="11"/>
        <color theme="1"/>
        <rFont val="Noto Sans"/>
        <family val="0"/>
        <charset val="1"/>
      </rPr>
      <t xml:space="preserve">(% vs ○△✗) </t>
    </r>
    <r>
      <rPr>
        <sz val="11"/>
        <color theme="1"/>
        <rFont val="Noto Sans CJK SC"/>
        <family val="2"/>
      </rPr>
      <t xml:space="preserve">보류</t>
    </r>
  </si>
  <si>
    <r>
      <rPr>
        <sz val="11"/>
        <color theme="1"/>
        <rFont val="Noto Sans"/>
        <family val="0"/>
        <charset val="1"/>
      </rPr>
      <t xml:space="preserve">Daily Report </t>
    </r>
    <r>
      <rPr>
        <sz val="11"/>
        <color theme="1"/>
        <rFont val="Noto Sans CJK SC"/>
        <family val="2"/>
      </rPr>
      <t xml:space="preserve">진도 위젯은 자리만 확보하고 로직 후행</t>
    </r>
  </si>
  <si>
    <t xml:space="preserve">F-4.11-6, A-3, A-12</t>
  </si>
  <si>
    <t xml:space="preserve">폐기</t>
  </si>
  <si>
    <t xml:space="preserve">영단어 시험 전면 폐기</t>
  </si>
  <si>
    <r>
      <rPr>
        <sz val="11"/>
        <color theme="1"/>
        <rFont val="Noto Sans"/>
        <family val="0"/>
        <charset val="1"/>
      </rPr>
      <t xml:space="preserve">vocab_tests / vocab_test_results API·</t>
    </r>
    <r>
      <rPr>
        <sz val="11"/>
        <color theme="1"/>
        <rFont val="Noto Sans CJK SC"/>
        <family val="2"/>
      </rPr>
      <t xml:space="preserve">스키마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화면 삭제</t>
    </r>
  </si>
  <si>
    <t xml:space="preserve">F-4.11-7, F-4.11-6</t>
  </si>
  <si>
    <r>
      <rPr>
        <sz val="11"/>
        <color theme="1"/>
        <rFont val="Noto Sans CJK SC"/>
        <family val="2"/>
      </rPr>
      <t xml:space="preserve">가족 채팅방 폐기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학부모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인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</si>
  <si>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chat_threads.type=FAMILY </t>
    </r>
    <r>
      <rPr>
        <sz val="11"/>
        <color theme="1"/>
        <rFont val="Noto Sans CJK SC"/>
        <family val="2"/>
      </rPr>
      <t xml:space="preserve">제거</t>
    </r>
  </si>
  <si>
    <t xml:space="preserve">F-4.11-3, A-16</t>
  </si>
  <si>
    <t xml:space="preserve">보류</t>
  </si>
  <si>
    <t xml:space="preserve">교재판매 웹뷰 앱 화면 보류</t>
  </si>
  <si>
    <r>
      <rPr>
        <sz val="11"/>
        <color theme="1"/>
        <rFont val="Noto Sans"/>
        <family val="0"/>
        <charset val="1"/>
      </rPr>
      <t xml:space="preserve">Phase 4 </t>
    </r>
    <r>
      <rPr>
        <sz val="11"/>
        <color theme="1"/>
        <rFont val="Noto Sans CJK SC"/>
        <family val="2"/>
      </rPr>
      <t xml:space="preserve">범위에서 제외</t>
    </r>
    <r>
      <rPr>
        <sz val="11"/>
        <color theme="1"/>
        <rFont val="Noto Sans"/>
        <family val="0"/>
        <charset val="1"/>
      </rPr>
      <t xml:space="preserve">, S-3 </t>
    </r>
    <r>
      <rPr>
        <sz val="11"/>
        <color theme="1"/>
        <rFont val="Noto Sans CJK SC"/>
        <family val="2"/>
      </rPr>
      <t xml:space="preserve">진행 확정 시 재편입</t>
    </r>
  </si>
  <si>
    <r>
      <rPr>
        <b val="true"/>
        <sz val="11"/>
        <color rgb="FF1F4E78"/>
        <rFont val="Noto Sans"/>
        <family val="0"/>
        <charset val="1"/>
      </rPr>
      <t xml:space="preserve">⑥ DSA </t>
    </r>
    <r>
      <rPr>
        <b val="true"/>
        <sz val="11"/>
        <color rgb="FF1F4E78"/>
        <rFont val="Noto Sans CJK SC"/>
        <family val="2"/>
      </rPr>
      <t xml:space="preserve">화면 실사 대조 — 요구사항 검증 여부 </t>
    </r>
    <r>
      <rPr>
        <b val="true"/>
        <sz val="11"/>
        <color rgb="FF1F4E78"/>
        <rFont val="Noto Sans"/>
        <family val="0"/>
        <charset val="1"/>
      </rPr>
      <t xml:space="preserve">(AS-IS </t>
    </r>
    <r>
      <rPr>
        <b val="true"/>
        <sz val="11"/>
        <color rgb="FF1F4E78"/>
        <rFont val="Noto Sans CJK SC"/>
        <family val="2"/>
      </rPr>
      <t xml:space="preserve">코드 실측 대체</t>
    </r>
    <r>
      <rPr>
        <b val="true"/>
        <sz val="11"/>
        <color rgb="FF1F4E78"/>
        <rFont val="Noto Sans"/>
        <family val="0"/>
        <charset val="1"/>
      </rPr>
      <t xml:space="preserve">)</t>
    </r>
  </si>
  <si>
    <r>
      <rPr>
        <b val="true"/>
        <sz val="11"/>
        <color rgb="FFFFFFFF"/>
        <rFont val="Noto Sans"/>
        <family val="0"/>
        <charset val="1"/>
      </rPr>
      <t xml:space="preserve">TO-BE </t>
    </r>
    <r>
      <rPr>
        <b val="true"/>
        <sz val="11"/>
        <color rgb="FFFFFFFF"/>
        <rFont val="Noto Sans CJK SC"/>
        <family val="2"/>
      </rPr>
      <t xml:space="preserve">요소</t>
    </r>
  </si>
  <si>
    <r>
      <rPr>
        <b val="true"/>
        <sz val="11"/>
        <color rgb="FFFFFFFF"/>
        <rFont val="Noto Sans"/>
        <family val="0"/>
        <charset val="1"/>
      </rPr>
      <t xml:space="preserve">DSA </t>
    </r>
    <r>
      <rPr>
        <b val="true"/>
        <sz val="11"/>
        <color rgb="FFFFFFFF"/>
        <rFont val="Noto Sans CJK SC"/>
        <family val="2"/>
      </rPr>
      <t xml:space="preserve">실사 결과</t>
    </r>
  </si>
  <si>
    <t xml:space="preserve">판정</t>
  </si>
  <si>
    <r>
      <rPr>
        <sz val="11"/>
        <color theme="1"/>
        <rFont val="Noto Sans CJK SC"/>
        <family val="2"/>
      </rPr>
      <t xml:space="preserve">통합검색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정렬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조건저장</t>
    </r>
    <r>
      <rPr>
        <sz val="11"/>
        <color theme="1"/>
        <rFont val="Noto Sans"/>
        <family val="0"/>
        <charset val="1"/>
      </rPr>
      <t xml:space="preserve">(4.1)</t>
    </r>
  </si>
  <si>
    <r>
      <rPr>
        <sz val="11"/>
        <color theme="1"/>
        <rFont val="Noto Sans CJK SC"/>
        <family val="2"/>
      </rPr>
      <t xml:space="preserve">검색 필터 </t>
    </r>
    <r>
      <rPr>
        <sz val="11"/>
        <color theme="1"/>
        <rFont val="Noto Sans"/>
        <family val="0"/>
        <charset val="1"/>
      </rPr>
      <t xml:space="preserve">12</t>
    </r>
    <r>
      <rPr>
        <sz val="11"/>
        <color theme="1"/>
        <rFont val="Noto Sans CJK SC"/>
        <family val="2"/>
      </rPr>
      <t xml:space="preserve">개 조건 확인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정렬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조건저장 미확인</t>
    </r>
  </si>
  <si>
    <t xml:space="preserve">부분검증</t>
  </si>
  <si>
    <r>
      <rPr>
        <sz val="11"/>
        <color theme="1"/>
        <rFont val="Noto Sans CJK SC"/>
        <family val="2"/>
      </rPr>
      <t xml:space="preserve">코드 없음 — 신규 구현</t>
    </r>
    <r>
      <rPr>
        <sz val="11"/>
        <color theme="1"/>
        <rFont val="Noto Sans"/>
        <family val="0"/>
        <charset val="1"/>
      </rPr>
      <t xml:space="preserve">, UX</t>
    </r>
    <r>
      <rPr>
        <sz val="11"/>
        <color theme="1"/>
        <rFont val="Noto Sans CJK SC"/>
        <family val="2"/>
      </rPr>
      <t xml:space="preserve">만 참고</t>
    </r>
  </si>
  <si>
    <r>
      <rPr>
        <sz val="11"/>
        <color theme="1"/>
        <rFont val="Noto Sans CJK SC"/>
        <family val="2"/>
      </rPr>
      <t xml:space="preserve">학생 엑셀 일괄 </t>
    </r>
    <r>
      <rPr>
        <sz val="11"/>
        <color theme="1"/>
        <rFont val="Noto Sans"/>
        <family val="0"/>
        <charset val="1"/>
      </rPr>
      <t xml:space="preserve">Import</t>
    </r>
  </si>
  <si>
    <t xml:space="preserve">대응 화면 없음</t>
  </si>
  <si>
    <r>
      <rPr>
        <sz val="11"/>
        <color theme="1"/>
        <rFont val="Noto Sans CJK SC"/>
        <family val="2"/>
      </rPr>
      <t xml:space="preserve">미검증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</si>
  <si>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신규 편입</t>
    </r>
  </si>
  <si>
    <t xml:space="preserve">상벌점 규칙엔진 자동부여</t>
  </si>
  <si>
    <r>
      <rPr>
        <sz val="11"/>
        <color theme="1"/>
        <rFont val="Noto Sans CJK SC"/>
        <family val="2"/>
      </rPr>
      <t xml:space="preserve">수기 점수부여 화면만 존재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자동룰 없음</t>
    </r>
  </si>
  <si>
    <r>
      <rPr>
        <sz val="11"/>
        <color theme="1"/>
        <rFont val="Noto Sans"/>
        <family val="0"/>
        <charset val="1"/>
      </rPr>
      <t xml:space="preserve">I-5 </t>
    </r>
    <r>
      <rPr>
        <sz val="11"/>
        <color theme="1"/>
        <rFont val="Noto Sans CJK SC"/>
        <family val="2"/>
      </rPr>
      <t xml:space="preserve">매핑 규칙 확정 후 엔진 설계</t>
    </r>
  </si>
  <si>
    <t xml:space="preserve">대기자→원생 전환</t>
  </si>
  <si>
    <t xml:space="preserve">대상이 다른 특강대기자 화면만 존재</t>
  </si>
  <si>
    <t xml:space="preserve">완전 신규</t>
  </si>
  <si>
    <r>
      <rPr>
        <sz val="11"/>
        <color theme="1"/>
        <rFont val="Noto Sans CJK SC"/>
        <family val="2"/>
      </rPr>
      <t xml:space="preserve">대응 화면 없음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현재 </t>
    </r>
    <r>
      <rPr>
        <sz val="11"/>
        <color theme="1"/>
        <rFont val="Noto Sans"/>
        <family val="0"/>
        <charset val="1"/>
      </rPr>
      <t xml:space="preserve">API</t>
    </r>
    <r>
      <rPr>
        <sz val="11"/>
        <color theme="1"/>
        <rFont val="Noto Sans CJK SC"/>
        <family val="2"/>
      </rPr>
      <t xml:space="preserve">로 유입만 확인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</si>
  <si>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신청 프론트 기구축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백오피스 신규</t>
    </r>
  </si>
  <si>
    <r>
      <rPr>
        <sz val="11"/>
        <color theme="1"/>
        <rFont val="Noto Sans CJK SC"/>
        <family val="2"/>
      </rPr>
      <t xml:space="preserve">카드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가상계좌 분기 결제</t>
    </r>
  </si>
  <si>
    <r>
      <rPr>
        <sz val="11"/>
        <color theme="1"/>
        <rFont val="Noto Sans"/>
        <family val="0"/>
        <charset val="1"/>
      </rPr>
      <t xml:space="preserve">DSA/</t>
    </r>
    <r>
      <rPr>
        <sz val="11"/>
        <color theme="1"/>
        <rFont val="Noto Sans CJK SC"/>
        <family val="2"/>
      </rPr>
      <t xml:space="preserve">디멤버엔 결제분기 없음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</si>
  <si>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디랩 자체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확정 → 외부 수급 이슈 해소</t>
    </r>
  </si>
  <si>
    <r>
      <rPr>
        <sz val="11"/>
        <color theme="1"/>
        <rFont val="Noto Sans CJK SC"/>
        <family val="2"/>
      </rPr>
      <t xml:space="preserve">환불 일할계산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현금영수증</t>
    </r>
  </si>
  <si>
    <r>
      <rPr>
        <sz val="11"/>
        <color theme="1"/>
        <rFont val="Noto Sans CJK SC"/>
        <family val="2"/>
      </rPr>
      <t xml:space="preserve">청구기준 화면에 환불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기준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항목만 존재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계산 로직 미확인</t>
    </r>
  </si>
  <si>
    <t xml:space="preserve">수납 대성전산 연동</t>
  </si>
  <si>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대성전산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조회로 추정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문구만 확인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</si>
  <si>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자체 처리 확정 — 과거 이력 이관 전용으로 축소</t>
    </r>
  </si>
  <si>
    <r>
      <rPr>
        <sz val="11"/>
        <color theme="1"/>
        <rFont val="Noto Sans"/>
        <family val="0"/>
        <charset val="1"/>
      </rPr>
      <t xml:space="preserve">RBAC </t>
    </r>
    <r>
      <rPr>
        <sz val="11"/>
        <color theme="1"/>
        <rFont val="Noto Sans CJK SC"/>
        <family val="2"/>
      </rPr>
      <t xml:space="preserve">지점별 접근제어</t>
    </r>
  </si>
  <si>
    <r>
      <rPr>
        <sz val="11"/>
        <color theme="1"/>
        <rFont val="Noto Sans CJK SC"/>
        <family val="2"/>
      </rPr>
      <t xml:space="preserve">사용자관리 화면에서 지점 선택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필터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확인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운영 중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</si>
  <si>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검증됨</t>
    </r>
    <r>
      <rPr>
        <sz val="11"/>
        <color theme="1"/>
        <rFont val="Noto Sans"/>
        <family val="0"/>
        <charset val="1"/>
      </rPr>
      <t xml:space="preserve">(UX)</t>
    </r>
  </si>
  <si>
    <r>
      <rPr>
        <sz val="11"/>
        <color theme="1"/>
        <rFont val="Noto Sans CJK SC"/>
        <family val="2"/>
      </rPr>
      <t xml:space="preserve">권한모델은 신규 설계</t>
    </r>
    <r>
      <rPr>
        <sz val="11"/>
        <color theme="1"/>
        <rFont val="Noto Sans"/>
        <family val="0"/>
        <charset val="1"/>
      </rPr>
      <t xml:space="preserve">(4</t>
    </r>
    <r>
      <rPr>
        <sz val="11"/>
        <color theme="1"/>
        <rFont val="Noto Sans CJK SC"/>
        <family val="2"/>
      </rPr>
      <t xml:space="preserve">시트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</si>
  <si>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전년도 복사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기초관리</t>
    </r>
    <r>
      <rPr>
        <sz val="11"/>
        <color theme="1"/>
        <rFont val="Noto Sans"/>
        <family val="0"/>
        <charset val="1"/>
      </rPr>
      <t xml:space="preserve">)</t>
    </r>
  </si>
  <si>
    <t xml:space="preserve">요구사항 언급되나 실제 동작 미확인</t>
  </si>
  <si>
    <r>
      <rPr>
        <sz val="11"/>
        <color theme="1"/>
        <rFont val="Noto Sans"/>
        <family val="0"/>
        <charset val="1"/>
      </rPr>
      <t xml:space="preserve">YearlySnapshotService </t>
    </r>
    <r>
      <rPr>
        <sz val="11"/>
        <color theme="1"/>
        <rFont val="Noto Sans CJK SC"/>
        <family val="2"/>
      </rPr>
      <t xml:space="preserve">신규 구현</t>
    </r>
  </si>
  <si>
    <r>
      <rPr>
        <sz val="11"/>
        <color theme="1"/>
        <rFont val="Noto Sans CJK SC"/>
        <family val="2"/>
      </rPr>
      <t xml:space="preserve">대응 화면 없음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실적 통계 화면 존재 여부 미확인</t>
    </r>
    <r>
      <rPr>
        <sz val="11"/>
        <color theme="1"/>
        <rFont val="Noto Sans"/>
        <family val="0"/>
        <charset val="1"/>
      </rPr>
      <t xml:space="preserve">)</t>
    </r>
  </si>
  <si>
    <t xml:space="preserve">신규 대분류</t>
  </si>
  <si>
    <t xml:space="preserve">신규 하위메뉴</t>
  </si>
  <si>
    <r>
      <rPr>
        <b val="true"/>
        <sz val="11"/>
        <color rgb="FFFFFFFF"/>
        <rFont val="Noto Sans"/>
        <family val="0"/>
        <charset val="1"/>
      </rPr>
      <t xml:space="preserve">DSA </t>
    </r>
    <r>
      <rPr>
        <b val="true"/>
        <sz val="11"/>
        <color rgb="FFFFFFFF"/>
        <rFont val="Noto Sans CJK SC"/>
        <family val="2"/>
      </rPr>
      <t xml:space="preserve">기존 메뉴 경로</t>
    </r>
    <r>
      <rPr>
        <b val="true"/>
        <sz val="11"/>
        <color rgb="FFFFFFFF"/>
        <rFont val="Noto Sans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실사 기준</t>
    </r>
    <r>
      <rPr>
        <b val="true"/>
        <sz val="11"/>
        <color rgb="FFFFFFFF"/>
        <rFont val="Noto Sans"/>
        <family val="0"/>
        <charset val="1"/>
      </rPr>
      <t xml:space="preserve">)</t>
    </r>
  </si>
  <si>
    <t xml:space="preserve">매핑 상태</t>
  </si>
  <si>
    <t xml:space="preserve">확인 필요사항</t>
  </si>
  <si>
    <r>
      <rPr>
        <sz val="11"/>
        <color theme="1"/>
        <rFont val="Noto Sans"/>
        <family val="0"/>
        <charset val="1"/>
      </rPr>
      <t xml:space="preserve">4.1 </t>
    </r>
    <r>
      <rPr>
        <sz val="11"/>
        <color theme="1"/>
        <rFont val="Noto Sans CJK SC"/>
        <family val="2"/>
      </rPr>
      <t xml:space="preserve">학생 관리</t>
    </r>
  </si>
  <si>
    <r>
      <rPr>
        <sz val="11"/>
        <color theme="1"/>
        <rFont val="Noto Sans CJK SC"/>
        <family val="2"/>
      </rPr>
      <t xml:space="preserve">학원생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학원생 메인 메뉴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</si>
  <si>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요구사항 검증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</si>
  <si>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정렬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검색조건 저장 신규 추가</t>
    </r>
  </si>
  <si>
    <r>
      <rPr>
        <sz val="11"/>
        <color theme="1"/>
        <rFont val="Noto Sans CJK SC"/>
        <family val="2"/>
      </rPr>
      <t xml:space="preserve">학생 엑셀 일괄 등록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수정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</si>
  <si>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엑셀 양식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검증 규칙 정의</t>
    </r>
  </si>
  <si>
    <r>
      <rPr>
        <sz val="11"/>
        <color theme="1"/>
        <rFont val="Noto Sans"/>
        <family val="0"/>
        <charset val="1"/>
      </rPr>
      <t xml:space="preserve">D.Lab &gt; </t>
    </r>
    <r>
      <rPr>
        <sz val="11"/>
        <color theme="1"/>
        <rFont val="Noto Sans CJK SC"/>
        <family val="2"/>
      </rPr>
      <t xml:space="preserve">상벌점 내역 조회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관리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</si>
  <si>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요구사항 일부 검증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</si>
  <si>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자동룰 트리거 목록 재정의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순찰 삭제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</si>
  <si>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학원생 </t>
    </r>
    <r>
      <rPr>
        <sz val="11"/>
        <color theme="1"/>
        <rFont val="Noto Sans"/>
        <family val="0"/>
        <charset val="1"/>
      </rPr>
      <t xml:space="preserve">&gt; NEW</t>
    </r>
    <r>
      <rPr>
        <sz val="11"/>
        <color theme="1"/>
        <rFont val="Noto Sans CJK SC"/>
        <family val="2"/>
      </rPr>
      <t xml:space="preserve">접수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합격생등록</t>
    </r>
  </si>
  <si>
    <t xml:space="preserve">학번 자동부여 로직 상세 확인</t>
  </si>
  <si>
    <r>
      <rPr>
        <sz val="11"/>
        <color theme="1"/>
        <rFont val="Noto Sans CJK SC"/>
        <family val="2"/>
      </rPr>
      <t xml:space="preserve">교무업무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고정반 관리</t>
    </r>
  </si>
  <si>
    <t xml:space="preserve">전년도 복사 동작 확인 필요</t>
  </si>
  <si>
    <r>
      <rPr>
        <sz val="11"/>
        <color theme="1"/>
        <rFont val="Noto Sans"/>
        <family val="0"/>
        <charset val="1"/>
      </rPr>
      <t xml:space="preserve">D.Lab &gt; </t>
    </r>
    <r>
      <rPr>
        <sz val="11"/>
        <color theme="1"/>
        <rFont val="Noto Sans CJK SC"/>
        <family val="2"/>
      </rPr>
      <t xml:space="preserve">사유 신청권 설정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</si>
  <si>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요구사항 보완</t>
    </r>
    <r>
      <rPr>
        <sz val="11"/>
        <color theme="1"/>
        <rFont val="Noto Sans"/>
        <family val="0"/>
        <charset val="1"/>
      </rPr>
      <t xml:space="preserve">)</t>
    </r>
  </si>
  <si>
    <t xml:space="preserve">앱 실시간 제출→승인 흐름 신규 설계</t>
  </si>
  <si>
    <r>
      <rPr>
        <sz val="11"/>
        <color theme="1"/>
        <rFont val="Noto Sans CJK SC"/>
        <family val="2"/>
      </rPr>
      <t xml:space="preserve">정기일정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</si>
  <si>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관리자 등록분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학생 등록분 중복 처리 규칙</t>
    </r>
  </si>
  <si>
    <t xml:space="preserve">#48(I-27)</t>
  </si>
  <si>
    <r>
      <rPr>
        <sz val="11"/>
        <color theme="1"/>
        <rFont val="Noto Sans CJK SC"/>
        <family val="2"/>
      </rPr>
      <t xml:space="preserve">학생 상태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</si>
  <si>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상태 필터만 존재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상벌점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출결 화면</t>
    </r>
  </si>
  <si>
    <t xml:space="preserve">상태 전이 시 후속처리 범위 확정</t>
  </si>
  <si>
    <r>
      <rPr>
        <sz val="11"/>
        <color theme="1"/>
        <rFont val="Noto Sans"/>
        <family val="0"/>
        <charset val="1"/>
      </rPr>
      <t xml:space="preserve">4.2 </t>
    </r>
    <r>
      <rPr>
        <sz val="11"/>
        <color theme="1"/>
        <rFont val="Noto Sans CJK SC"/>
        <family val="2"/>
      </rPr>
      <t xml:space="preserve">대기자 관리</t>
    </r>
  </si>
  <si>
    <r>
      <rPr>
        <sz val="11"/>
        <color theme="1"/>
        <rFont val="Noto Sans CJK SC"/>
        <family val="2"/>
      </rPr>
      <t xml:space="preserve">대기자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</si>
  <si>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특강관리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접수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대기자 접수 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대상 상이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참고용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</si>
  <si>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(DSA </t>
    </r>
    <r>
      <rPr>
        <sz val="11"/>
        <color theme="1"/>
        <rFont val="Noto Sans CJK SC"/>
        <family val="2"/>
      </rPr>
      <t xml:space="preserve">대상 다름</t>
    </r>
    <r>
      <rPr>
        <sz val="11"/>
        <color theme="1"/>
        <rFont val="Noto Sans"/>
        <family val="0"/>
        <charset val="1"/>
      </rPr>
      <t xml:space="preserve">)</t>
    </r>
  </si>
  <si>
    <t xml:space="preserve">입학예약폼 확정본 전달 대기</t>
  </si>
  <si>
    <r>
      <rPr>
        <sz val="11"/>
        <color theme="1"/>
        <rFont val="Noto Sans CJK SC"/>
        <family val="2"/>
      </rPr>
      <t xml:space="preserve">입학예약 상담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</si>
  <si>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대응 화면 없음</t>
    </r>
    <r>
      <rPr>
        <sz val="11"/>
        <color theme="1"/>
        <rFont val="Noto Sans"/>
        <family val="0"/>
        <charset val="1"/>
      </rPr>
      <t xml:space="preserve">(API </t>
    </r>
    <r>
      <rPr>
        <sz val="11"/>
        <color theme="1"/>
        <rFont val="Noto Sans CJK SC"/>
        <family val="2"/>
      </rPr>
      <t xml:space="preserve">유입만 확인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</si>
  <si>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DSD </t>
    </r>
    <r>
      <rPr>
        <sz val="11"/>
        <color theme="1"/>
        <rFont val="Noto Sans CJK SC"/>
        <family val="2"/>
      </rPr>
      <t xml:space="preserve">상담신청 엔드포인트 명세 요청</t>
    </r>
  </si>
  <si>
    <t xml:space="preserve">#13(S-4)</t>
  </si>
  <si>
    <r>
      <rPr>
        <sz val="11"/>
        <color theme="1"/>
        <rFont val="Noto Sans"/>
        <family val="0"/>
        <charset val="1"/>
      </rPr>
      <t xml:space="preserve">4.3 </t>
    </r>
    <r>
      <rPr>
        <sz val="11"/>
        <color theme="1"/>
        <rFont val="Noto Sans CJK SC"/>
        <family val="2"/>
      </rPr>
      <t xml:space="preserve">출결 관리</t>
    </r>
  </si>
  <si>
    <r>
      <rPr>
        <sz val="11"/>
        <color theme="1"/>
        <rFont val="Noto Sans"/>
        <family val="0"/>
        <charset val="1"/>
      </rPr>
      <t xml:space="preserve">D.Lab &gt; </t>
    </r>
    <r>
      <rPr>
        <sz val="11"/>
        <color theme="1"/>
        <rFont val="Noto Sans CJK SC"/>
        <family val="2"/>
      </rPr>
      <t xml:space="preserve">출결 관리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</si>
  <si>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연동구조 변경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</si>
  <si>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키오스크 직접연동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토큰 검증 방식</t>
    </r>
  </si>
  <si>
    <r>
      <rPr>
        <sz val="11"/>
        <color theme="1"/>
        <rFont val="Noto Sans CJK SC"/>
        <family val="2"/>
      </rPr>
      <t xml:space="preserve">좌석 이탈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복귀 현황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</si>
  <si>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순찰 대체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</si>
  <si>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위치 구분값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좌석표 실시간 반영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태블릿 배치</t>
    </r>
  </si>
  <si>
    <r>
      <rPr>
        <sz val="11"/>
        <color theme="1"/>
        <rFont val="Noto Sans"/>
        <family val="0"/>
        <charset val="1"/>
      </rPr>
      <t xml:space="preserve">4.4 </t>
    </r>
    <r>
      <rPr>
        <sz val="11"/>
        <color theme="1"/>
        <rFont val="Noto Sans CJK SC"/>
        <family val="2"/>
      </rPr>
      <t xml:space="preserve">메시지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알림</t>
    </r>
  </si>
  <si>
    <r>
      <rPr>
        <sz val="11"/>
        <color theme="1"/>
        <rFont val="Noto Sans CJK SC"/>
        <family val="2"/>
      </rPr>
      <t xml:space="preserve">알림 발송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알림톡</t>
    </r>
    <r>
      <rPr>
        <sz val="11"/>
        <color theme="1"/>
        <rFont val="Noto Sans"/>
        <family val="0"/>
        <charset val="1"/>
      </rPr>
      <t xml:space="preserve">+FCM)</t>
    </r>
  </si>
  <si>
    <r>
      <rPr>
        <sz val="11"/>
        <color theme="1"/>
        <rFont val="Noto Sans CJK SC"/>
        <family val="2"/>
      </rPr>
      <t xml:space="preserve">문자발송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메시지 단체발송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</si>
  <si>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채널 전환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</si>
  <si>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알림톡 심사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이벤트별 채널 매핑표</t>
    </r>
  </si>
  <si>
    <r>
      <rPr>
        <sz val="11"/>
        <color theme="1"/>
        <rFont val="Noto Sans CJK SC"/>
        <family val="2"/>
      </rPr>
      <t xml:space="preserve">알림 템플릿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</si>
  <si>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고정메시지 선택 </t>
    </r>
    <r>
      <rPr>
        <sz val="11"/>
        <color theme="1"/>
        <rFont val="Noto Sans"/>
        <family val="0"/>
        <charset val="1"/>
      </rPr>
      <t xml:space="preserve">UI</t>
    </r>
    <r>
      <rPr>
        <sz val="11"/>
        <color theme="1"/>
        <rFont val="Noto Sans CJK SC"/>
        <family val="2"/>
      </rPr>
      <t xml:space="preserve">만 존재</t>
    </r>
    <r>
      <rPr>
        <sz val="11"/>
        <color theme="1"/>
        <rFont val="Noto Sans"/>
        <family val="0"/>
        <charset val="1"/>
      </rPr>
      <t xml:space="preserve">)</t>
    </r>
  </si>
  <si>
    <t xml:space="preserve">템플릿 문구 확정</t>
  </si>
  <si>
    <t xml:space="preserve">#24(I-4)</t>
  </si>
  <si>
    <r>
      <rPr>
        <sz val="11"/>
        <color theme="1"/>
        <rFont val="Noto Sans"/>
        <family val="0"/>
        <charset val="1"/>
      </rPr>
      <t xml:space="preserve">4.5 </t>
    </r>
    <r>
      <rPr>
        <sz val="11"/>
        <color theme="1"/>
        <rFont val="Noto Sans CJK SC"/>
        <family val="2"/>
      </rPr>
      <t xml:space="preserve">급식 관리</t>
    </r>
  </si>
  <si>
    <r>
      <rPr>
        <sz val="11"/>
        <color theme="1"/>
        <rFont val="Noto Sans CJK SC"/>
        <family val="2"/>
      </rPr>
      <t xml:space="preserve">급식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</si>
  <si>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디멤버 급식신청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신청관리 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대체 대상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참고용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</si>
  <si>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전체 대체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</si>
  <si>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데스크 당일 신청 결제방식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식사체크 방식</t>
    </r>
  </si>
  <si>
    <r>
      <rPr>
        <sz val="11"/>
        <color theme="1"/>
        <rFont val="Noto Sans"/>
        <family val="0"/>
        <charset val="1"/>
      </rPr>
      <t xml:space="preserve">4.6 </t>
    </r>
    <r>
      <rPr>
        <sz val="11"/>
        <color theme="1"/>
        <rFont val="Noto Sans CJK SC"/>
        <family val="2"/>
      </rPr>
      <t xml:space="preserve">성적 관리</t>
    </r>
  </si>
  <si>
    <r>
      <rPr>
        <sz val="11"/>
        <color theme="1"/>
        <rFont val="Noto Sans CJK SC"/>
        <family val="2"/>
      </rPr>
      <t xml:space="preserve">성적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</si>
  <si>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교무업무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모의고사 결시자 현황 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목적 다름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참고용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</si>
  <si>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대상 다름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</si>
  <si>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더프리미엄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스펙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엑셀 양식 확정</t>
    </r>
  </si>
  <si>
    <r>
      <rPr>
        <sz val="11"/>
        <color theme="1"/>
        <rFont val="Noto Sans CJK SC"/>
        <family val="2"/>
      </rPr>
      <t xml:space="preserve">설문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가채점</t>
    </r>
    <r>
      <rPr>
        <sz val="11"/>
        <color theme="1"/>
        <rFont val="Noto Sans"/>
        <family val="0"/>
        <charset val="1"/>
      </rPr>
      <t xml:space="preserve">) 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</si>
  <si>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"/>
        <family val="0"/>
        <charset val="1"/>
      </rPr>
      <t xml:space="preserve">4.7 </t>
    </r>
    <r>
      <rPr>
        <sz val="11"/>
        <color theme="1"/>
        <rFont val="Noto Sans CJK SC"/>
        <family val="2"/>
      </rPr>
      <t xml:space="preserve">특강 관리</t>
    </r>
  </si>
  <si>
    <r>
      <rPr>
        <sz val="11"/>
        <color theme="1"/>
        <rFont val="Noto Sans CJK SC"/>
        <family val="2"/>
      </rPr>
      <t xml:space="preserve">특강관리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접수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신청 명단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</si>
  <si>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설명회 신청만 보완</t>
    </r>
    <r>
      <rPr>
        <sz val="11"/>
        <color theme="1"/>
        <rFont val="Noto Sans"/>
        <family val="0"/>
        <charset val="1"/>
      </rPr>
      <t xml:space="preserve">)</t>
    </r>
  </si>
  <si>
    <t xml:space="preserve">설명회 신청 항목 추가 개발 범위</t>
  </si>
  <si>
    <r>
      <rPr>
        <sz val="11"/>
        <color theme="1"/>
        <rFont val="Noto Sans"/>
        <family val="0"/>
        <charset val="1"/>
      </rPr>
      <t xml:space="preserve">4.8 </t>
    </r>
    <r>
      <rPr>
        <sz val="11"/>
        <color theme="1"/>
        <rFont val="Noto Sans CJK SC"/>
        <family val="2"/>
      </rPr>
      <t xml:space="preserve">수납 관리</t>
    </r>
  </si>
  <si>
    <r>
      <rPr>
        <sz val="11"/>
        <color theme="1"/>
        <rFont val="Noto Sans CJK SC"/>
        <family val="2"/>
      </rPr>
      <t xml:space="preserve">수납현황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통합 매출장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</si>
  <si>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자체 처리로 전환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</si>
  <si>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과거 이력 이관 범위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대성 </t>
    </r>
    <r>
      <rPr>
        <sz val="11"/>
        <color theme="1"/>
        <rFont val="Noto Sans"/>
        <family val="0"/>
        <charset val="1"/>
      </rPr>
      <t xml:space="preserve">API)</t>
    </r>
  </si>
  <si>
    <r>
      <rPr>
        <sz val="11"/>
        <color theme="1"/>
        <rFont val="Noto Sans CJK SC"/>
        <family val="2"/>
      </rPr>
      <t xml:space="preserve">환불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일할계산</t>
    </r>
    <r>
      <rPr>
        <sz val="11"/>
        <color theme="1"/>
        <rFont val="Noto Sans"/>
        <family val="0"/>
        <charset val="1"/>
      </rPr>
      <t xml:space="preserve">) 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</si>
  <si>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관리자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수납관리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청구기준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기준 항목만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</si>
  <si>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반환기준 산식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수기 개입 범위</t>
    </r>
  </si>
  <si>
    <r>
      <rPr>
        <sz val="11"/>
        <color theme="1"/>
        <rFont val="Noto Sans CJK SC"/>
        <family val="2"/>
      </rPr>
      <t xml:space="preserve">현금영수증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납입증명서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</si>
  <si>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발급 채널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범위 확정</t>
    </r>
  </si>
  <si>
    <r>
      <rPr>
        <sz val="11"/>
        <color theme="1"/>
        <rFont val="Noto Sans"/>
        <family val="0"/>
        <charset val="1"/>
      </rPr>
      <t xml:space="preserve">4.9 </t>
    </r>
    <r>
      <rPr>
        <sz val="11"/>
        <color theme="1"/>
        <rFont val="Noto Sans CJK SC"/>
        <family val="2"/>
      </rPr>
      <t xml:space="preserve">교무업무</t>
    </r>
  </si>
  <si>
    <r>
      <rPr>
        <sz val="11"/>
        <color theme="1"/>
        <rFont val="Noto Sans CJK SC"/>
        <family val="2"/>
      </rPr>
      <t xml:space="preserve">교무업무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명단조회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출력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수강생 대장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</si>
  <si>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필터 개선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</si>
  <si>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구분 항목 재정의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운영팀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</si>
  <si>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4.10 </t>
    </r>
    <r>
      <rPr>
        <sz val="11"/>
        <color theme="1"/>
        <rFont val="Noto Sans CJK SC"/>
        <family val="2"/>
      </rPr>
      <t xml:space="preserve">관리자 기능</t>
    </r>
  </si>
  <si>
    <t xml:space="preserve">기초 관리</t>
  </si>
  <si>
    <r>
      <rPr>
        <sz val="11"/>
        <color theme="1"/>
        <rFont val="Noto Sans CJK SC"/>
        <family val="2"/>
      </rPr>
      <t xml:space="preserve">기초관리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과정 관리</t>
    </r>
  </si>
  <si>
    <r>
      <rPr>
        <sz val="11"/>
        <color theme="1"/>
        <rFont val="Noto Sans CJK SC"/>
        <family val="2"/>
      </rPr>
      <t xml:space="preserve">사용자 관리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사용자관리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</si>
  <si>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(RBAC</t>
    </r>
    <r>
      <rPr>
        <sz val="11"/>
        <color theme="1"/>
        <rFont val="Noto Sans CJK SC"/>
        <family val="2"/>
      </rPr>
      <t xml:space="preserve">는 신규설계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</si>
  <si>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권한 매트릭스 확정</t>
    </r>
    <r>
      <rPr>
        <sz val="11"/>
        <color theme="1"/>
        <rFont val="Noto Sans"/>
        <family val="0"/>
        <charset val="1"/>
      </rPr>
      <t xml:space="preserve">(4</t>
    </r>
    <r>
      <rPr>
        <sz val="11"/>
        <color theme="1"/>
        <rFont val="Noto Sans CJK SC"/>
        <family val="2"/>
      </rPr>
      <t xml:space="preserve">시트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</si>
  <si>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관리자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배정관리 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사물함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독서실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좌석</t>
    </r>
    <r>
      <rPr>
        <sz val="11"/>
        <color theme="1"/>
        <rFont val="Noto Sans"/>
        <family val="0"/>
        <charset val="1"/>
      </rPr>
      <t xml:space="preserve">)</t>
    </r>
  </si>
  <si>
    <t xml:space="preserve">좌석 배정 데이터가 좌석표 기준</t>
  </si>
  <si>
    <r>
      <rPr>
        <sz val="11"/>
        <color theme="1"/>
        <rFont val="Noto Sans CJK SC"/>
        <family val="2"/>
      </rPr>
      <t xml:space="preserve">특강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기초설정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</si>
  <si>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관리자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특강관리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특강 관리</t>
    </r>
  </si>
  <si>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설명회 항목만 확인필요</t>
    </r>
    <r>
      <rPr>
        <sz val="11"/>
        <color theme="1"/>
        <rFont val="Noto Sans"/>
        <family val="0"/>
        <charset val="1"/>
      </rPr>
      <t xml:space="preserve">)</t>
    </r>
  </si>
  <si>
    <t xml:space="preserve">설명회 신청 추가개발 여부</t>
  </si>
  <si>
    <r>
      <rPr>
        <sz val="11"/>
        <color theme="1"/>
        <rFont val="Noto Sans CJK SC"/>
        <family val="2"/>
      </rPr>
      <t xml:space="preserve">수납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청구기준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</si>
  <si>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관리자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수납관리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청구기준 관리</t>
    </r>
  </si>
  <si>
    <t xml:space="preserve">환불기준 데이터가 일할계산 입력값</t>
  </si>
  <si>
    <r>
      <rPr>
        <sz val="11"/>
        <color theme="1"/>
        <rFont val="Noto Sans CJK SC"/>
        <family val="2"/>
      </rPr>
      <t xml:space="preserve">실적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실적 입력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부산기숙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</si>
  <si>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실적 통계는 </t>
    </r>
    <r>
      <rPr>
        <sz val="11"/>
        <color theme="1"/>
        <rFont val="Noto Sans"/>
        <family val="0"/>
        <charset val="1"/>
      </rPr>
      <t xml:space="preserve">4.11 </t>
    </r>
    <r>
      <rPr>
        <sz val="11"/>
        <color theme="1"/>
        <rFont val="Noto Sans CJK SC"/>
        <family val="2"/>
      </rPr>
      <t xml:space="preserve">대시보드와 연계</t>
    </r>
  </si>
  <si>
    <r>
      <rPr>
        <sz val="11"/>
        <color theme="1"/>
        <rFont val="Noto Sans CJK SC"/>
        <family val="2"/>
      </rPr>
      <t xml:space="preserve">지점 설정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</si>
  <si>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시크릿 관리 절차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감사로그</t>
    </r>
  </si>
  <si>
    <r>
      <rPr>
        <sz val="11"/>
        <color theme="1"/>
        <rFont val="Noto Sans"/>
        <family val="0"/>
        <charset val="1"/>
      </rPr>
      <t xml:space="preserve">4.11 </t>
    </r>
    <r>
      <rPr>
        <sz val="11"/>
        <color theme="1"/>
        <rFont val="Noto Sans CJK SC"/>
        <family val="2"/>
      </rPr>
      <t xml:space="preserve">신규 확장</t>
    </r>
  </si>
  <si>
    <r>
      <rPr>
        <sz val="11"/>
        <color theme="1"/>
        <rFont val="Noto Sans CJK SC"/>
        <family val="2"/>
      </rPr>
      <t xml:space="preserve">데일리 루틴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</si>
  <si>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상벌점 규칙매핑</t>
    </r>
    <r>
      <rPr>
        <sz val="11"/>
        <color theme="1"/>
        <rFont val="Noto Sans"/>
        <family val="0"/>
        <charset val="1"/>
      </rPr>
      <t xml:space="preserve">(I-5)·</t>
    </r>
    <r>
      <rPr>
        <sz val="11"/>
        <color theme="1"/>
        <rFont val="Noto Sans CJK SC"/>
        <family val="2"/>
      </rPr>
      <t xml:space="preserve">운영규칙</t>
    </r>
  </si>
  <si>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일 학습 계획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</si>
  <si>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파란색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정의</t>
    </r>
    <r>
      <rPr>
        <sz val="11"/>
        <color theme="1"/>
        <rFont val="Noto Sans"/>
        <family val="0"/>
        <charset val="1"/>
      </rPr>
      <t xml:space="preserve">(I-7)·</t>
    </r>
    <r>
      <rPr>
        <sz val="11"/>
        <color theme="1"/>
        <rFont val="Noto Sans CJK SC"/>
        <family val="2"/>
      </rPr>
      <t xml:space="preserve">교시 편집 단위</t>
    </r>
    <r>
      <rPr>
        <sz val="11"/>
        <color theme="1"/>
        <rFont val="Noto Sans"/>
        <family val="0"/>
        <charset val="1"/>
      </rPr>
      <t xml:space="preserve">(20/30</t>
    </r>
    <r>
      <rPr>
        <sz val="11"/>
        <color theme="1"/>
        <rFont val="Noto Sans CJK SC"/>
        <family val="2"/>
      </rPr>
      <t xml:space="preserve">분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이행 표시 방식</t>
    </r>
  </si>
  <si>
    <r>
      <rPr>
        <sz val="11"/>
        <color theme="1"/>
        <rFont val="Noto Sans CJK SC"/>
        <family val="2"/>
      </rPr>
      <t xml:space="preserve">메시지 관리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공지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행정요청</t>
    </r>
    <r>
      <rPr>
        <sz val="11"/>
        <color theme="1"/>
        <rFont val="Noto Sans"/>
        <family val="0"/>
        <charset val="1"/>
      </rPr>
      <t xml:space="preserve">·1:1</t>
    </r>
    <r>
      <rPr>
        <sz val="11"/>
        <color theme="1"/>
        <rFont val="Noto Sans CJK SC"/>
        <family val="2"/>
      </rPr>
      <t xml:space="preserve">채팅</t>
    </r>
    <r>
      <rPr>
        <sz val="11"/>
        <color theme="1"/>
        <rFont val="Noto Sans"/>
        <family val="0"/>
        <charset val="1"/>
      </rPr>
      <t xml:space="preserve">) 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</si>
  <si>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문자발송 </t>
    </r>
    <r>
      <rPr>
        <sz val="11"/>
        <color theme="1"/>
        <rFont val="Noto Sans"/>
        <family val="0"/>
        <charset val="1"/>
      </rPr>
      <t xml:space="preserve">UI</t>
    </r>
    <r>
      <rPr>
        <sz val="11"/>
        <color theme="1"/>
        <rFont val="Noto Sans CJK SC"/>
        <family val="2"/>
      </rPr>
      <t xml:space="preserve">의 권한개념만 참고</t>
    </r>
  </si>
  <si>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확장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</si>
  <si>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메신저 선정</t>
    </r>
    <r>
      <rPr>
        <sz val="11"/>
        <color theme="1"/>
        <rFont val="Noto Sans"/>
        <family val="0"/>
        <charset val="1"/>
      </rPr>
      <t xml:space="preserve">(E-6)·</t>
    </r>
    <r>
      <rPr>
        <sz val="11"/>
        <color theme="1"/>
        <rFont val="Noto Sans CJK SC"/>
        <family val="2"/>
      </rPr>
      <t xml:space="preserve">행정요청 목록</t>
    </r>
    <r>
      <rPr>
        <sz val="11"/>
        <color theme="1"/>
        <rFont val="Noto Sans"/>
        <family val="0"/>
        <charset val="1"/>
      </rPr>
      <t xml:space="preserve">(I-3)</t>
    </r>
  </si>
  <si>
    <r>
      <rPr>
        <sz val="11"/>
        <color theme="1"/>
        <rFont val="Noto Sans CJK SC"/>
        <family val="2"/>
      </rPr>
      <t xml:space="preserve">상담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일지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리포트</t>
    </r>
    <r>
      <rPr>
        <sz val="11"/>
        <color theme="1"/>
        <rFont val="Noto Sans"/>
        <family val="0"/>
        <charset val="1"/>
      </rPr>
      <t xml:space="preserve">) 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</si>
  <si>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대응 화면 없음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구글시트로 운영 중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</si>
  <si>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상담양식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발송주기</t>
    </r>
    <r>
      <rPr>
        <sz val="11"/>
        <color theme="1"/>
        <rFont val="Noto Sans"/>
        <family val="0"/>
        <charset val="1"/>
      </rPr>
      <t xml:space="preserve">(I-2)</t>
    </r>
  </si>
  <si>
    <t xml:space="preserve">#22(I-2)</t>
  </si>
  <si>
    <r>
      <rPr>
        <sz val="11"/>
        <color theme="1"/>
        <rFont val="Noto Sans CJK SC"/>
        <family val="2"/>
      </rPr>
      <t xml:space="preserve">승인 라우팅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</si>
  <si>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"/>
        <family val="0"/>
        <charset val="1"/>
      </rPr>
      <t xml:space="preserve">F-4.1-6</t>
    </r>
    <r>
      <rPr>
        <sz val="11"/>
        <color theme="1"/>
        <rFont val="Noto Sans CJK SC"/>
        <family val="2"/>
      </rPr>
      <t xml:space="preserve">과 목적 유사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승인주체만 다름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</si>
  <si>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승인주체 매트릭스</t>
    </r>
    <r>
      <rPr>
        <sz val="11"/>
        <color theme="1"/>
        <rFont val="Noto Sans"/>
        <family val="0"/>
        <charset val="1"/>
      </rPr>
      <t xml:space="preserve">(I-12)·</t>
    </r>
    <r>
      <rPr>
        <sz val="11"/>
        <color theme="1"/>
        <rFont val="Noto Sans CJK SC"/>
        <family val="2"/>
      </rPr>
      <t xml:space="preserve">에스컬레이션</t>
    </r>
  </si>
  <si>
    <r>
      <rPr>
        <sz val="11"/>
        <color theme="1"/>
        <rFont val="Noto Sans"/>
        <family val="0"/>
        <charset val="1"/>
      </rPr>
      <t xml:space="preserve">Daily Report 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서버</t>
    </r>
    <r>
      <rPr>
        <sz val="11"/>
        <color theme="1"/>
        <rFont val="Noto Sans"/>
        <family val="0"/>
        <charset val="1"/>
      </rPr>
      <t xml:space="preserve">) 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</si>
  <si>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순공시간 산출 재정의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순찰 제외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</si>
  <si>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질의응답 관리</t>
    </r>
    <r>
      <rPr>
        <sz val="11"/>
        <color theme="1"/>
        <rFont val="Noto Sans"/>
        <family val="0"/>
        <charset val="1"/>
      </rPr>
      <t xml:space="preserve">(ON/OFF) 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</si>
  <si>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멘토 배정규칙</t>
    </r>
    <r>
      <rPr>
        <sz val="11"/>
        <color theme="1"/>
        <rFont val="Noto Sans"/>
        <family val="0"/>
        <charset val="1"/>
      </rPr>
      <t xml:space="preserve">·SLA, 1:1</t>
    </r>
    <r>
      <rPr>
        <sz val="11"/>
        <color theme="1"/>
        <rFont val="Noto Sans CJK SC"/>
        <family val="2"/>
      </rPr>
      <t xml:space="preserve">채팅과 경계</t>
    </r>
  </si>
  <si>
    <r>
      <rPr>
        <sz val="11"/>
        <color theme="1"/>
        <rFont val="Noto Sans CJK SC"/>
        <family val="2"/>
      </rPr>
      <t xml:space="preserve">신상기록부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</si>
  <si>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종 양식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학년별 폼</t>
    </r>
    <r>
      <rPr>
        <sz val="11"/>
        <color theme="1"/>
        <rFont val="Noto Sans"/>
        <family val="0"/>
        <charset val="1"/>
      </rPr>
      <t xml:space="preserve">·PDF </t>
    </r>
    <r>
      <rPr>
        <sz val="11"/>
        <color theme="1"/>
        <rFont val="Noto Sans CJK SC"/>
        <family val="2"/>
      </rPr>
      <t xml:space="preserve">양식</t>
    </r>
  </si>
  <si>
    <r>
      <rPr>
        <sz val="11"/>
        <color theme="1"/>
        <rFont val="Noto Sans CJK SC"/>
        <family val="2"/>
      </rPr>
      <t xml:space="preserve">연간 행사 마스터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</si>
  <si>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입력 주체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행사 유형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반영 규칙</t>
    </r>
  </si>
  <si>
    <r>
      <rPr>
        <sz val="11"/>
        <color theme="1"/>
        <rFont val="Noto Sans CJK SC"/>
        <family val="2"/>
      </rPr>
      <t xml:space="preserve">방화벽 해제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</si>
  <si>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"/>
        <family val="0"/>
        <charset val="1"/>
      </rPr>
      <t xml:space="preserve">Nebula </t>
    </r>
    <r>
      <rPr>
        <sz val="11"/>
        <color theme="1"/>
        <rFont val="Noto Sans CJK SC"/>
        <family val="2"/>
      </rPr>
      <t xml:space="preserve">제어 단위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승인 주체</t>
    </r>
  </si>
  <si>
    <r>
      <rPr>
        <sz val="11"/>
        <color theme="1"/>
        <rFont val="Noto Sans CJK SC"/>
        <family val="2"/>
      </rPr>
      <t xml:space="preserve">통계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관리자 대시보드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</si>
  <si>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t xml:space="preserve">지표 항목 정의</t>
  </si>
  <si>
    <r>
      <rPr>
        <sz val="11"/>
        <color theme="1"/>
        <rFont val="Noto Sans"/>
        <family val="0"/>
        <charset val="1"/>
      </rPr>
      <t xml:space="preserve">4.12 </t>
    </r>
    <r>
      <rPr>
        <sz val="11"/>
        <color theme="1"/>
        <rFont val="Noto Sans CJK SC"/>
        <family val="2"/>
      </rPr>
      <t xml:space="preserve">앱 관리</t>
    </r>
  </si>
  <si>
    <r>
      <rPr>
        <sz val="11"/>
        <color theme="1"/>
        <rFont val="Noto Sans CJK SC"/>
        <family val="2"/>
      </rPr>
      <t xml:space="preserve">앱 계정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온보딩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</si>
  <si>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"/>
        <family val="0"/>
        <charset val="1"/>
      </rPr>
      <t xml:space="preserve">OT </t>
    </r>
    <r>
      <rPr>
        <sz val="11"/>
        <color theme="1"/>
        <rFont val="Noto Sans CJK SC"/>
        <family val="2"/>
      </rPr>
      <t xml:space="preserve">게이트 정책</t>
    </r>
    <r>
      <rPr>
        <sz val="11"/>
        <color theme="1"/>
        <rFont val="Noto Sans"/>
        <family val="0"/>
        <charset val="1"/>
      </rPr>
      <t xml:space="preserve">(I-24)</t>
    </r>
  </si>
  <si>
    <r>
      <rPr>
        <sz val="11"/>
        <color theme="1"/>
        <rFont val="Noto Sans CJK SC"/>
        <family val="2"/>
      </rPr>
      <t xml:space="preserve">앱 푸시 발송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이력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</si>
  <si>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"/>
        <family val="0"/>
        <charset val="1"/>
      </rPr>
      <t xml:space="preserve">FCM </t>
    </r>
    <r>
      <rPr>
        <sz val="11"/>
        <color theme="1"/>
        <rFont val="Noto Sans CJK SC"/>
        <family val="2"/>
      </rPr>
      <t xml:space="preserve">프로젝트</t>
    </r>
    <r>
      <rPr>
        <sz val="11"/>
        <color theme="1"/>
        <rFont val="Noto Sans"/>
        <family val="0"/>
        <charset val="1"/>
      </rPr>
      <t xml:space="preserve">·APNs </t>
    </r>
    <r>
      <rPr>
        <sz val="11"/>
        <color theme="1"/>
        <rFont val="Noto Sans CJK SC"/>
        <family val="2"/>
      </rPr>
      <t xml:space="preserve">키</t>
    </r>
  </si>
  <si>
    <r>
      <rPr>
        <sz val="11"/>
        <color theme="1"/>
        <rFont val="Noto Sans CJK SC"/>
        <family val="2"/>
      </rPr>
      <t xml:space="preserve">앱 버전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배포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</si>
  <si>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스토어 계정 권한 위임</t>
    </r>
    <r>
      <rPr>
        <sz val="11"/>
        <color theme="1"/>
        <rFont val="Noto Sans"/>
        <family val="0"/>
        <charset val="1"/>
      </rPr>
      <t xml:space="preserve">(S-5)</t>
    </r>
  </si>
  <si>
    <r>
      <rPr>
        <sz val="11"/>
        <color theme="1"/>
        <rFont val="Noto Sans CJK SC"/>
        <family val="2"/>
      </rPr>
      <t xml:space="preserve">수업 시간표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이동수업 관리 </t>
    </r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회신반영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</si>
  <si>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교무업무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시간표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이동수업</t>
    </r>
  </si>
  <si>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회신 누락분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</si>
  <si>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시간표 관리 필요 범위 확인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운영팀</t>
    </r>
    <r>
      <rPr>
        <sz val="11"/>
        <color theme="1"/>
        <rFont val="Noto Sans"/>
        <family val="0"/>
        <charset val="1"/>
      </rPr>
      <t xml:space="preserve">)</t>
    </r>
  </si>
  <si>
    <t xml:space="preserve">#49</t>
  </si>
  <si>
    <r>
      <rPr>
        <sz val="11"/>
        <color theme="1"/>
        <rFont val="Noto Sans CJK SC"/>
        <family val="2"/>
      </rPr>
      <t xml:space="preserve">변경 이력 조회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금일 수정 이력</t>
    </r>
    <r>
      <rPr>
        <sz val="11"/>
        <color theme="1"/>
        <rFont val="Noto Sans"/>
        <family val="0"/>
        <charset val="1"/>
      </rPr>
      <t xml:space="preserve">) [</t>
    </r>
    <r>
      <rPr>
        <sz val="11"/>
        <color theme="1"/>
        <rFont val="Noto Sans CJK SC"/>
        <family val="2"/>
      </rPr>
      <t xml:space="preserve">회신반영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</si>
  <si>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메모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기타 </t>
    </r>
    <r>
      <rPr>
        <sz val="11"/>
        <color theme="1"/>
        <rFont val="Noto Sans"/>
        <family val="0"/>
        <charset val="1"/>
      </rPr>
      <t xml:space="preserve">&gt; </t>
    </r>
    <r>
      <rPr>
        <sz val="11"/>
        <color theme="1"/>
        <rFont val="Noto Sans CJK SC"/>
        <family val="2"/>
      </rPr>
      <t xml:space="preserve">금일 수정 이력</t>
    </r>
  </si>
  <si>
    <r>
      <rPr>
        <sz val="11"/>
        <color theme="1"/>
        <rFont val="Noto Sans CJK SC"/>
        <family val="2"/>
      </rPr>
      <t xml:space="preserve">감사로그 뷰어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전용화면 확정</t>
    </r>
  </si>
  <si>
    <t xml:space="preserve">#50</t>
  </si>
  <si>
    <r>
      <rPr>
        <sz val="11"/>
        <color theme="1"/>
        <rFont val="Noto Sans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폐기</t>
    </r>
    <r>
      <rPr>
        <sz val="11"/>
        <color theme="1"/>
        <rFont val="Noto Sans"/>
        <family val="0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</si>
  <si>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영단어 시험 관리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가족 채팅방 </t>
    </r>
    <r>
      <rPr>
        <sz val="11"/>
        <color theme="1"/>
        <rFont val="Noto Sans"/>
        <family val="0"/>
        <charset val="1"/>
      </rPr>
      <t xml:space="preserve">/ </t>
    </r>
    <r>
      <rPr>
        <sz val="11"/>
        <color theme="1"/>
        <rFont val="Noto Sans CJK SC"/>
        <family val="2"/>
      </rPr>
      <t xml:space="preserve">사감 순찰</t>
    </r>
  </si>
  <si>
    <r>
      <rPr>
        <b val="true"/>
        <sz val="13"/>
        <color rgb="FF1F4E78"/>
        <rFont val="Noto Sans CJK SC"/>
        <family val="2"/>
      </rPr>
      <t xml:space="preserve">리스크</t>
    </r>
    <r>
      <rPr>
        <b val="true"/>
        <sz val="13"/>
        <color rgb="FF1F4E78"/>
        <rFont val="Noto Sans"/>
        <family val="0"/>
        <charset val="1"/>
      </rPr>
      <t xml:space="preserve">·</t>
    </r>
    <r>
      <rPr>
        <b val="true"/>
        <sz val="13"/>
        <color rgb="FF1F4E78"/>
        <rFont val="Noto Sans CJK SC"/>
        <family val="2"/>
      </rPr>
      <t xml:space="preserve">전제사항 </t>
    </r>
    <r>
      <rPr>
        <b val="true"/>
        <sz val="13"/>
        <color rgb="FF1F4E78"/>
        <rFont val="Noto Sans"/>
        <family val="0"/>
        <charset val="1"/>
      </rPr>
      <t xml:space="preserve">(DSA </t>
    </r>
    <r>
      <rPr>
        <b val="true"/>
        <sz val="13"/>
        <color rgb="FF1F4E78"/>
        <rFont val="Noto Sans CJK SC"/>
        <family val="2"/>
      </rPr>
      <t xml:space="preserve">소스코드 미보유</t>
    </r>
    <r>
      <rPr>
        <b val="true"/>
        <sz val="13"/>
        <color rgb="FF1F4E78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</si>
  <si>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대조 대상</t>
    </r>
    <r>
      <rPr>
        <sz val="11"/>
        <color theme="1"/>
        <rFont val="Noto Sans"/>
        <family val="0"/>
        <charset val="1"/>
      </rPr>
      <t xml:space="preserve">: DSA </t>
    </r>
    <r>
      <rPr>
        <sz val="11"/>
        <color theme="1"/>
        <rFont val="Noto Sans CJK SC"/>
        <family val="2"/>
      </rPr>
      <t xml:space="preserve">화면 실사 </t>
    </r>
    <r>
      <rPr>
        <sz val="11"/>
        <color theme="1"/>
        <rFont val="Noto Sans"/>
        <family val="0"/>
        <charset val="1"/>
      </rPr>
      <t xml:space="preserve">/ DLab </t>
    </r>
    <r>
      <rPr>
        <sz val="11"/>
        <color theme="1"/>
        <rFont val="Noto Sans CJK SC"/>
        <family val="2"/>
      </rPr>
      <t xml:space="preserve">기획정리 </t>
    </r>
    <r>
      <rPr>
        <sz val="11"/>
        <color theme="1"/>
        <rFont val="Noto Sans"/>
        <family val="0"/>
        <charset val="1"/>
      </rPr>
      <t xml:space="preserve">v4 / Dlab</t>
    </r>
    <r>
      <rPr>
        <sz val="11"/>
        <color theme="1"/>
        <rFont val="Noto Sans CJK SC"/>
        <family val="2"/>
      </rPr>
      <t xml:space="preserve">통합관리 기술문서 </t>
    </r>
    <r>
      <rPr>
        <sz val="11"/>
        <color theme="1"/>
        <rFont val="Noto Sans"/>
        <family val="0"/>
        <charset val="1"/>
      </rPr>
      <t xml:space="preserve">v1.3 / APP </t>
    </r>
    <r>
      <rPr>
        <sz val="11"/>
        <color theme="1"/>
        <rFont val="Noto Sans CJK SC"/>
        <family val="2"/>
      </rPr>
      <t xml:space="preserve">기술문서 </t>
    </r>
    <r>
      <rPr>
        <sz val="11"/>
        <color theme="1"/>
        <rFont val="Noto Sans"/>
        <family val="0"/>
        <charset val="1"/>
      </rPr>
      <t xml:space="preserve">v0.2 · </t>
    </r>
    <r>
      <rPr>
        <sz val="11"/>
        <color theme="1"/>
        <rFont val="Noto Sans CJK SC"/>
        <family val="2"/>
      </rPr>
      <t xml:space="preserve">갱신일 </t>
    </r>
    <r>
      <rPr>
        <sz val="11"/>
        <color theme="1"/>
        <rFont val="Noto Sans"/>
        <family val="0"/>
        <charset val="1"/>
      </rPr>
      <t xml:space="preserve">2026-08-03</t>
    </r>
  </si>
  <si>
    <t xml:space="preserve">① 검증 개요 및 핵심 결론</t>
  </si>
  <si>
    <t xml:space="preserve">트랙</t>
  </si>
  <si>
    <t xml:space="preserve">핵심 질문</t>
  </si>
  <si>
    <t xml:space="preserve">판정 결론</t>
  </si>
  <si>
    <r>
      <rPr>
        <sz val="11"/>
        <color theme="1"/>
        <rFont val="Noto Sans"/>
        <family val="0"/>
        <charset val="1"/>
      </rPr>
      <t xml:space="preserve">DB(</t>
    </r>
    <r>
      <rPr>
        <sz val="11"/>
        <color theme="1"/>
        <rFont val="Noto Sans CJK SC"/>
        <family val="2"/>
      </rPr>
      <t xml:space="preserve">소스 실측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</si>
  <si>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데이터 모델이 실재하는가</t>
    </r>
  </si>
  <si>
    <r>
      <rPr>
        <sz val="11"/>
        <color theme="1"/>
        <rFont val="Noto Sans CJK SC"/>
        <family val="2"/>
      </rPr>
      <t xml:space="preserve">❌ 수행 불가 — </t>
    </r>
    <r>
      <rPr>
        <sz val="11"/>
        <color theme="1"/>
        <rFont val="Noto Sans"/>
        <family val="0"/>
        <charset val="1"/>
      </rPr>
      <t xml:space="preserve">DSA DB </t>
    </r>
    <r>
      <rPr>
        <sz val="11"/>
        <color theme="1"/>
        <rFont val="Noto Sans CJK SC"/>
        <family val="2"/>
      </rPr>
      <t xml:space="preserve">접근 권한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자료 없음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대성전산 </t>
    </r>
    <r>
      <rPr>
        <sz val="11"/>
        <color theme="1"/>
        <rFont val="Noto Sans"/>
        <family val="0"/>
        <charset val="1"/>
      </rPr>
      <t xml:space="preserve">API</t>
    </r>
    <r>
      <rPr>
        <sz val="11"/>
        <color theme="1"/>
        <rFont val="Noto Sans CJK SC"/>
        <family val="2"/>
      </rPr>
      <t xml:space="preserve">를 통해서만 간접 확인 가능</t>
    </r>
    <r>
      <rPr>
        <sz val="11"/>
        <color theme="1"/>
        <rFont val="Noto Sans"/>
        <family val="0"/>
        <charset val="1"/>
      </rPr>
      <t xml:space="preserve">(D-1)</t>
    </r>
  </si>
  <si>
    <r>
      <rPr>
        <sz val="11"/>
        <color theme="1"/>
        <rFont val="Noto Sans CJK SC"/>
        <family val="2"/>
      </rPr>
      <t xml:space="preserve">백엔드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소스 실측</t>
    </r>
    <r>
      <rPr>
        <sz val="11"/>
        <color theme="1"/>
        <rFont val="Noto Sans"/>
        <family val="0"/>
        <charset val="1"/>
      </rPr>
      <t xml:space="preserve">)</t>
    </r>
  </si>
  <si>
    <t xml:space="preserve">핵심 로직이 어디에 있는가</t>
  </si>
  <si>
    <r>
      <rPr>
        <sz val="11"/>
        <color theme="1"/>
        <rFont val="Noto Sans CJK SC"/>
        <family val="2"/>
      </rPr>
      <t xml:space="preserve">❌ 수행 불가 — </t>
    </r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소스코드 없음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전 로직 신규 설계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구현 확정</t>
    </r>
  </si>
  <si>
    <r>
      <rPr>
        <sz val="11"/>
        <color theme="1"/>
        <rFont val="Noto Sans CJK SC"/>
        <family val="2"/>
      </rPr>
      <t xml:space="preserve">프론트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화면 실사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</si>
  <si>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화면이 요구사항을 실제로 충족하는가</t>
    </r>
  </si>
  <si>
    <r>
      <rPr>
        <sz val="11"/>
        <color theme="1"/>
        <rFont val="Noto Sans CJK SC"/>
        <family val="2"/>
      </rPr>
      <t xml:space="preserve">✅ 수행 가능 — </t>
    </r>
    <r>
      <rPr>
        <sz val="11"/>
        <color theme="1"/>
        <rFont val="Noto Sans"/>
        <family val="0"/>
        <charset val="1"/>
      </rPr>
      <t xml:space="preserve">19</t>
    </r>
    <r>
      <rPr>
        <sz val="11"/>
        <color theme="1"/>
        <rFont val="Noto Sans CJK SC"/>
        <family val="2"/>
      </rPr>
      <t xml:space="preserve">개 기능 화면 실사 완료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단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관찰로는 내부 검증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성능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제약조건 확인 불가</t>
    </r>
  </si>
  <si>
    <r>
      <rPr>
        <sz val="11"/>
        <color theme="1"/>
        <rFont val="Noto Sans CJK SC"/>
        <family val="2"/>
      </rPr>
      <t xml:space="preserve">앱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신규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</si>
  <si>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참고할 </t>
    </r>
    <r>
      <rPr>
        <sz val="11"/>
        <color theme="1"/>
        <rFont val="Noto Sans"/>
        <family val="0"/>
        <charset val="1"/>
      </rPr>
      <t xml:space="preserve">AS-IS </t>
    </r>
    <r>
      <rPr>
        <sz val="11"/>
        <color theme="1"/>
        <rFont val="Noto Sans CJK SC"/>
        <family val="2"/>
      </rPr>
      <t xml:space="preserve">자산이 있는가</t>
    </r>
  </si>
  <si>
    <r>
      <rPr>
        <sz val="11"/>
        <color theme="1"/>
        <rFont val="Noto Sans CJK SC"/>
        <family val="2"/>
      </rPr>
      <t xml:space="preserve">❌ 전무 — 앱은 완전 신규</t>
    </r>
    <r>
      <rPr>
        <sz val="11"/>
        <color theme="1"/>
        <rFont val="Noto Sans"/>
        <family val="0"/>
        <charset val="1"/>
      </rPr>
      <t xml:space="preserve">. 2</t>
    </r>
    <r>
      <rPr>
        <sz val="11"/>
        <color theme="1"/>
        <rFont val="Noto Sans CJK SC"/>
        <family val="2"/>
      </rPr>
      <t xml:space="preserve">시트 전 항목이 화면설계부터 신규 진행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디자인가이드 </t>
    </r>
    <r>
      <rPr>
        <sz val="11"/>
        <color theme="1"/>
        <rFont val="Noto Sans"/>
        <family val="0"/>
        <charset val="1"/>
      </rPr>
      <t xml:space="preserve">I-9 </t>
    </r>
    <r>
      <rPr>
        <sz val="11"/>
        <color theme="1"/>
        <rFont val="Noto Sans CJK SC"/>
        <family val="2"/>
      </rPr>
      <t xml:space="preserve">확정이 특히 중요</t>
    </r>
    <r>
      <rPr>
        <sz val="11"/>
        <color theme="1"/>
        <rFont val="Noto Sans"/>
        <family val="0"/>
        <charset val="1"/>
      </rPr>
      <t xml:space="preserve">)</t>
    </r>
  </si>
  <si>
    <t xml:space="preserve">② 전제 조건 및 가정</t>
  </si>
  <si>
    <r>
      <rPr>
        <b val="true"/>
        <sz val="11"/>
        <color rgb="FFFFFFFF"/>
        <rFont val="Noto Sans CJK SC"/>
        <family val="2"/>
      </rPr>
      <t xml:space="preserve">가정</t>
    </r>
    <r>
      <rPr>
        <b val="true"/>
        <sz val="11"/>
        <color rgb="FFFFFFFF"/>
        <rFont val="Noto Sans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전제</t>
    </r>
  </si>
  <si>
    <t xml:space="preserve">영향받는 영역</t>
  </si>
  <si>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실사에서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요구사항 검증됨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으로 분류된 화면도 코드는 </t>
    </r>
    <r>
      <rPr>
        <sz val="11"/>
        <color theme="1"/>
        <rFont val="Noto Sans"/>
        <family val="0"/>
        <charset val="1"/>
      </rPr>
      <t xml:space="preserve">100% </t>
    </r>
    <r>
      <rPr>
        <sz val="11"/>
        <color theme="1"/>
        <rFont val="Noto Sans CJK SC"/>
        <family val="2"/>
      </rPr>
      <t xml:space="preserve">신규 작성한다</t>
    </r>
  </si>
  <si>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소스코드 부재</t>
    </r>
  </si>
  <si>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시트 전체 — 검증됨 항목도 공수는 신규와 동일 수준으로 산정</t>
    </r>
  </si>
  <si>
    <r>
      <rPr>
        <sz val="11"/>
        <color theme="1"/>
        <rFont val="Noto Sans"/>
        <family val="0"/>
        <charset val="1"/>
      </rPr>
      <t xml:space="preserve">DSA→D.Lab </t>
    </r>
    <r>
      <rPr>
        <sz val="11"/>
        <color theme="1"/>
        <rFont val="Noto Sans CJK SC"/>
        <family val="2"/>
      </rPr>
      <t xml:space="preserve">데이터 이관은 대성전산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경유로만 가능하다</t>
    </r>
  </si>
  <si>
    <t xml:space="preserve">D-1</t>
  </si>
  <si>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상벌점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과거 수납이력 초기 셋업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컷오버</t>
    </r>
    <r>
      <rPr>
        <sz val="11"/>
        <color theme="1"/>
        <rFont val="Noto Sans"/>
        <family val="0"/>
        <charset val="1"/>
      </rPr>
      <t xml:space="preserve">(Phase 4)</t>
    </r>
  </si>
  <si>
    <r>
      <rPr>
        <sz val="11"/>
        <color theme="1"/>
        <rFont val="Noto Sans CJK SC"/>
        <family val="2"/>
      </rPr>
      <t xml:space="preserve">계약 종료 전 병행 운영 가능성 → 단방향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회 이관이 아닌 양방향 동기화 어댑터를 전제로 설계한다</t>
    </r>
  </si>
  <si>
    <t xml:space="preserve">D-1 · D-8</t>
  </si>
  <si>
    <t xml:space="preserve">마이그레이션 설계 전반</t>
  </si>
  <si>
    <r>
      <rPr>
        <sz val="11"/>
        <color theme="1"/>
        <rFont val="Noto Sans CJK SC"/>
        <family val="2"/>
      </rPr>
      <t xml:space="preserve">화면 실사는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구성요소까지만 신뢰 가능하며 내부 처리 로직은 육안으로 확정할 수 없다</t>
    </r>
  </si>
  <si>
    <t xml:space="preserve">실사 방법론상 한계</t>
  </si>
  <si>
    <r>
      <rPr>
        <sz val="11"/>
        <color theme="1"/>
        <rFont val="Noto Sans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시트 ⑥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부분검증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판정 전체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</si>
  <si>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결제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수납은 디랩 자체 명의 </t>
    </r>
    <r>
      <rPr>
        <sz val="11"/>
        <color theme="1"/>
        <rFont val="Noto Sans"/>
        <family val="0"/>
        <charset val="1"/>
      </rPr>
      <t xml:space="preserve">PG</t>
    </r>
    <r>
      <rPr>
        <sz val="11"/>
        <color theme="1"/>
        <rFont val="Noto Sans CJK SC"/>
        <family val="2"/>
      </rPr>
      <t xml:space="preserve">로 전 구간 자체 처리한다 — 결제 실패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이중결제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환불 책임이 전부 학원에 귀속된다</t>
    </r>
  </si>
  <si>
    <r>
      <rPr>
        <sz val="11"/>
        <color theme="1"/>
        <rFont val="Noto Sans"/>
        <family val="0"/>
        <charset val="1"/>
      </rPr>
      <t xml:space="preserve">0803 </t>
    </r>
    <r>
      <rPr>
        <sz val="11"/>
        <color theme="1"/>
        <rFont val="Noto Sans CJK SC"/>
        <family val="2"/>
      </rPr>
      <t xml:space="preserve">클라이언트 확정</t>
    </r>
  </si>
  <si>
    <r>
      <rPr>
        <sz val="11"/>
        <color theme="1"/>
        <rFont val="Noto Sans"/>
        <family val="0"/>
        <charset val="1"/>
      </rPr>
      <t xml:space="preserve">F-4.5 · F-4.8-* — </t>
    </r>
    <r>
      <rPr>
        <sz val="11"/>
        <color theme="1"/>
        <rFont val="Noto Sans CJK SC"/>
        <family val="2"/>
      </rPr>
      <t xml:space="preserve">결제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정산 상태모델을 화면보다 먼저 확정할 것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</si>
  <si>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좌석 이탈은 키오스크 전용이므로 앱 우회 경로가 없다 — </t>
    </r>
    <r>
      <rPr>
        <sz val="11"/>
        <color theme="1"/>
        <rFont val="Noto Sans"/>
        <family val="0"/>
        <charset val="1"/>
      </rPr>
      <t xml:space="preserve">D-2 </t>
    </r>
    <r>
      <rPr>
        <sz val="11"/>
        <color theme="1"/>
        <rFont val="Noto Sans CJK SC"/>
        <family val="2"/>
      </rPr>
      <t xml:space="preserve">미확정 시 학생 입력 경로는 착수 불가</t>
    </r>
  </si>
  <si>
    <r>
      <rPr>
        <sz val="11"/>
        <color theme="1"/>
        <rFont val="Noto Sans"/>
        <family val="0"/>
        <charset val="1"/>
      </rPr>
      <t xml:space="preserve">F-4.3-2 — </t>
    </r>
    <r>
      <rPr>
        <sz val="11"/>
        <color theme="1"/>
        <rFont val="Noto Sans CJK SC"/>
        <family val="2"/>
      </rPr>
      <t xml:space="preserve">관리자 좌석표 </t>
    </r>
    <r>
      <rPr>
        <sz val="11"/>
        <color theme="1"/>
        <rFont val="Noto Sans"/>
        <family val="0"/>
        <charset val="1"/>
      </rPr>
      <t xml:space="preserve">UI</t>
    </r>
    <r>
      <rPr>
        <sz val="11"/>
        <color theme="1"/>
        <rFont val="Noto Sans CJK SC"/>
        <family val="2"/>
      </rPr>
      <t xml:space="preserve">만 선행 가능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</si>
  <si>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앱 관리자 역할 폐지로 현장 관리 업무는 전부 웹에서 처리된다</t>
    </r>
  </si>
  <si>
    <r>
      <rPr>
        <sz val="11"/>
        <color theme="1"/>
        <rFont val="Noto Sans"/>
        <family val="0"/>
        <charset val="1"/>
      </rPr>
      <t xml:space="preserve">F-4.12-* — </t>
    </r>
    <r>
      <rPr>
        <sz val="11"/>
        <color theme="1"/>
        <rFont val="Noto Sans CJK SC"/>
        <family val="2"/>
      </rPr>
      <t xml:space="preserve">웹 화면 물량 증가 → 웹 </t>
    </r>
    <r>
      <rPr>
        <sz val="11"/>
        <color theme="1"/>
        <rFont val="Noto Sans"/>
        <family val="0"/>
        <charset val="1"/>
      </rPr>
      <t xml:space="preserve">FE </t>
    </r>
    <r>
      <rPr>
        <sz val="11"/>
        <color theme="1"/>
        <rFont val="Noto Sans CJK SC"/>
        <family val="2"/>
      </rPr>
      <t xml:space="preserve">병목 가중</t>
    </r>
  </si>
  <si>
    <t xml:space="preserve">③ 주요 리스크</t>
  </si>
  <si>
    <t xml:space="preserve">#</t>
  </si>
  <si>
    <t xml:space="preserve">리스크</t>
  </si>
  <si>
    <t xml:space="preserve">대응</t>
  </si>
  <si>
    <t xml:space="preserve">R-1</t>
  </si>
  <si>
    <r>
      <rPr>
        <sz val="11"/>
        <color theme="1"/>
        <rFont val="Noto Sans CJK SC"/>
        <family val="2"/>
      </rPr>
      <t xml:space="preserve">대성전산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미공개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연동 거부 → 과거 데이터 이관 불가</t>
    </r>
  </si>
  <si>
    <r>
      <rPr>
        <sz val="11"/>
        <color theme="1"/>
        <rFont val="Noto Sans CJK SC"/>
        <family val="2"/>
      </rPr>
      <t xml:space="preserve">계약 조건 사전 합의</t>
    </r>
    <r>
      <rPr>
        <sz val="11"/>
        <color theme="1"/>
        <rFont val="Noto Sans"/>
        <family val="0"/>
        <charset val="1"/>
      </rPr>
      <t xml:space="preserve">(D-1), </t>
    </r>
    <r>
      <rPr>
        <sz val="11"/>
        <color theme="1"/>
        <rFont val="Noto Sans CJK SC"/>
        <family val="2"/>
      </rPr>
      <t xml:space="preserve">최악 시 </t>
    </r>
    <r>
      <rPr>
        <sz val="11"/>
        <color theme="1"/>
        <rFont val="Noto Sans"/>
        <family val="0"/>
        <charset val="1"/>
      </rPr>
      <t xml:space="preserve">DB </t>
    </r>
    <r>
      <rPr>
        <sz val="11"/>
        <color theme="1"/>
        <rFont val="Noto Sans CJK SC"/>
        <family val="2"/>
      </rPr>
      <t xml:space="preserve">직접 읽기 협의</t>
    </r>
  </si>
  <si>
    <t xml:space="preserve">R-2</t>
  </si>
  <si>
    <r>
      <rPr>
        <sz val="11"/>
        <color theme="1"/>
        <rFont val="Noto Sans CJK SC"/>
        <family val="2"/>
      </rPr>
      <t xml:space="preserve">키오스크 스펙</t>
    </r>
    <r>
      <rPr>
        <sz val="11"/>
        <color theme="1"/>
        <rFont val="Noto Sans"/>
        <family val="0"/>
        <charset val="1"/>
      </rPr>
      <t xml:space="preserve">(D-2) </t>
    </r>
    <r>
      <rPr>
        <sz val="11"/>
        <color theme="1"/>
        <rFont val="Noto Sans CJK SC"/>
        <family val="2"/>
      </rPr>
      <t xml:space="preserve">미확정 — 출결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식사체크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좌석이탈 전부 종속</t>
    </r>
  </si>
  <si>
    <r>
      <rPr>
        <sz val="11"/>
        <color theme="1"/>
        <rFont val="Noto Sans CJK SC"/>
        <family val="2"/>
      </rPr>
      <t xml:space="preserve">목업 </t>
    </r>
    <r>
      <rPr>
        <sz val="11"/>
        <color theme="1"/>
        <rFont val="Noto Sans"/>
        <family val="0"/>
        <charset val="1"/>
      </rPr>
      <t xml:space="preserve">payload</t>
    </r>
    <r>
      <rPr>
        <sz val="11"/>
        <color theme="1"/>
        <rFont val="Noto Sans CJK SC"/>
        <family val="2"/>
      </rPr>
      <t xml:space="preserve">로 우회 개발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인터페이스 분리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확정 후 구현 스왑</t>
    </r>
  </si>
  <si>
    <t xml:space="preserve">R-3</t>
  </si>
  <si>
    <r>
      <rPr>
        <sz val="11"/>
        <color theme="1"/>
        <rFont val="Noto Sans CJK SC"/>
        <family val="2"/>
      </rPr>
      <t xml:space="preserve">알림톡 심사 지연 — </t>
    </r>
    <r>
      <rPr>
        <sz val="11"/>
        <color theme="1"/>
        <rFont val="Noto Sans"/>
        <family val="0"/>
        <charset val="1"/>
      </rPr>
      <t xml:space="preserve">SMS </t>
    </r>
    <r>
      <rPr>
        <sz val="11"/>
        <color theme="1"/>
        <rFont val="Noto Sans CJK SC"/>
        <family val="2"/>
      </rPr>
      <t xml:space="preserve">폴백 없음</t>
    </r>
  </si>
  <si>
    <r>
      <rPr>
        <sz val="11"/>
        <color theme="1"/>
        <rFont val="Noto Sans CJK SC"/>
        <family val="2"/>
      </rPr>
      <t xml:space="preserve">템플릿 전량 선신청</t>
    </r>
    <r>
      <rPr>
        <sz val="11"/>
        <color theme="1"/>
        <rFont val="Noto Sans"/>
        <family val="0"/>
        <charset val="1"/>
      </rPr>
      <t xml:space="preserve">(Phase 0), </t>
    </r>
    <r>
      <rPr>
        <sz val="11"/>
        <color theme="1"/>
        <rFont val="Noto Sans CJK SC"/>
        <family val="2"/>
      </rPr>
      <t xml:space="preserve">미승인 구간 이벤트 적재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일괄 발송 큐 설계</t>
    </r>
  </si>
  <si>
    <t xml:space="preserve">R-4</t>
  </si>
  <si>
    <r>
      <rPr>
        <sz val="11"/>
        <color theme="1"/>
        <rFont val="Noto Sans"/>
        <family val="0"/>
        <charset val="1"/>
      </rPr>
      <t xml:space="preserve">RBAC </t>
    </r>
    <r>
      <rPr>
        <sz val="11"/>
        <color theme="1"/>
        <rFont val="Noto Sans CJK SC"/>
        <family val="2"/>
      </rPr>
      <t xml:space="preserve">미완 상태에서 개인정보 메뉴 개발 진입</t>
    </r>
  </si>
  <si>
    <r>
      <rPr>
        <sz val="11"/>
        <color theme="1"/>
        <rFont val="Noto Sans"/>
        <family val="0"/>
        <charset val="1"/>
      </rPr>
      <t xml:space="preserve">Phase 0 RBAC </t>
    </r>
    <r>
      <rPr>
        <sz val="11"/>
        <color theme="1"/>
        <rFont val="Noto Sans CJK SC"/>
        <family val="2"/>
      </rPr>
      <t xml:space="preserve">완성 필수</t>
    </r>
    <r>
      <rPr>
        <sz val="11"/>
        <color theme="1"/>
        <rFont val="Noto Sans"/>
        <family val="0"/>
        <charset val="1"/>
      </rPr>
      <t xml:space="preserve">(4</t>
    </r>
    <r>
      <rPr>
        <sz val="11"/>
        <color theme="1"/>
        <rFont val="Noto Sans CJK SC"/>
        <family val="2"/>
      </rPr>
      <t xml:space="preserve">시트 ①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배포 전 보안 검토</t>
    </r>
  </si>
  <si>
    <t xml:space="preserve">R-5</t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</si>
  <si>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자체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전환으로 결제 사고 책임이 전부 학원 귀속</t>
    </r>
  </si>
  <si>
    <r>
      <rPr>
        <sz val="11"/>
        <color theme="1"/>
        <rFont val="Noto Sans CJK SC"/>
        <family val="2"/>
      </rPr>
      <t xml:space="preserve">결제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정산 상태모델 선확정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이중결제 방지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정합성 배치 필수</t>
    </r>
  </si>
  <si>
    <t xml:space="preserve">R-6</t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</si>
  <si>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앱 관리자 기능의 웹 이관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신규 편입 화면 </t>
    </r>
    <r>
      <rPr>
        <sz val="11"/>
        <color theme="1"/>
        <rFont val="Noto Sans"/>
        <family val="0"/>
        <charset val="1"/>
      </rPr>
      <t xml:space="preserve">8</t>
    </r>
    <r>
      <rPr>
        <sz val="11"/>
        <color theme="1"/>
        <rFont val="Noto Sans CJK SC"/>
        <family val="2"/>
      </rPr>
      <t xml:space="preserve">종으로 웹 </t>
    </r>
    <r>
      <rPr>
        <sz val="11"/>
        <color theme="1"/>
        <rFont val="Noto Sans"/>
        <family val="0"/>
        <charset val="1"/>
      </rPr>
      <t xml:space="preserve">FE </t>
    </r>
    <r>
      <rPr>
        <sz val="11"/>
        <color theme="1"/>
        <rFont val="Noto Sans CJK SC"/>
        <family val="2"/>
      </rPr>
      <t xml:space="preserve">물량 증가</t>
    </r>
  </si>
  <si>
    <r>
      <rPr>
        <sz val="11"/>
        <color theme="1"/>
        <rFont val="Noto Sans CJK SC"/>
        <family val="2"/>
      </rPr>
      <t xml:space="preserve">웹 </t>
    </r>
    <r>
      <rPr>
        <sz val="11"/>
        <color theme="1"/>
        <rFont val="Noto Sans"/>
        <family val="0"/>
        <charset val="1"/>
      </rPr>
      <t xml:space="preserve">FE </t>
    </r>
    <r>
      <rPr>
        <sz val="11"/>
        <color theme="1"/>
        <rFont val="Noto Sans CJK SC"/>
        <family val="2"/>
      </rPr>
      <t xml:space="preserve">단일 인력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서지원</t>
    </r>
    <r>
      <rPr>
        <sz val="11"/>
        <color theme="1"/>
        <rFont val="Noto Sans"/>
        <family val="0"/>
        <charset val="1"/>
      </rPr>
      <t xml:space="preserve">·PM </t>
    </r>
    <r>
      <rPr>
        <sz val="11"/>
        <color theme="1"/>
        <rFont val="Noto Sans CJK SC"/>
        <family val="2"/>
      </rPr>
      <t xml:space="preserve">겸임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병목 — 화면 우선순위 강제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공통 컴포넌트 극대화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초과 시 후순위 화면 이월</t>
    </r>
  </si>
  <si>
    <t xml:space="preserve">R-7</t>
  </si>
  <si>
    <r>
      <rPr>
        <sz val="11"/>
        <color theme="1"/>
        <rFont val="Noto Sans CJK SC"/>
        <family val="2"/>
      </rPr>
      <t xml:space="preserve">앱 스토어 심사 반려 시 사용자 </t>
    </r>
    <r>
      <rPr>
        <sz val="11"/>
        <color theme="1"/>
        <rFont val="Noto Sans"/>
        <family val="0"/>
        <charset val="1"/>
      </rPr>
      <t xml:space="preserve">QA·</t>
    </r>
    <r>
      <rPr>
        <sz val="11"/>
        <color theme="1"/>
        <rFont val="Noto Sans CJK SC"/>
        <family val="2"/>
      </rPr>
      <t xml:space="preserve">컷오버 연쇄 지연</t>
    </r>
  </si>
  <si>
    <r>
      <rPr>
        <sz val="11"/>
        <color theme="1"/>
        <rFont val="Noto Sans"/>
        <family val="0"/>
        <charset val="1"/>
      </rPr>
      <t xml:space="preserve">Phase 0</t>
    </r>
    <r>
      <rPr>
        <sz val="11"/>
        <color theme="1"/>
        <rFont val="Noto Sans CJK SC"/>
        <family val="2"/>
      </rPr>
      <t xml:space="preserve">에 스토어 계정 권한 위임</t>
    </r>
    <r>
      <rPr>
        <sz val="11"/>
        <color theme="1"/>
        <rFont val="Noto Sans"/>
        <family val="0"/>
        <charset val="1"/>
      </rPr>
      <t xml:space="preserve">(S-5)·TestFlight/</t>
    </r>
    <r>
      <rPr>
        <sz val="11"/>
        <color theme="1"/>
        <rFont val="Noto Sans CJK SC"/>
        <family val="2"/>
      </rPr>
      <t xml:space="preserve">내부테스트 트랙 선개설</t>
    </r>
  </si>
  <si>
    <t xml:space="preserve">R-8</t>
  </si>
  <si>
    <r>
      <rPr>
        <sz val="11"/>
        <color theme="1"/>
        <rFont val="Noto Sans"/>
        <family val="0"/>
        <charset val="1"/>
      </rPr>
      <t xml:space="preserve">1:1 </t>
    </r>
    <r>
      <rPr>
        <sz val="11"/>
        <color theme="1"/>
        <rFont val="Noto Sans CJK SC"/>
        <family val="2"/>
      </rPr>
      <t xml:space="preserve">메신저</t>
    </r>
    <r>
      <rPr>
        <sz val="11"/>
        <color theme="1"/>
        <rFont val="Noto Sans"/>
        <family val="0"/>
        <charset val="1"/>
      </rPr>
      <t xml:space="preserve">(E-6) </t>
    </r>
    <r>
      <rPr>
        <sz val="11"/>
        <color theme="1"/>
        <rFont val="Noto Sans CJK SC"/>
        <family val="2"/>
      </rPr>
      <t xml:space="preserve">선정 지연 — 온라인 질의응답과 기능 중복 소지</t>
    </r>
  </si>
  <si>
    <r>
      <rPr>
        <sz val="11"/>
        <color theme="1"/>
        <rFont val="Noto Sans CJK SC"/>
        <family val="2"/>
      </rPr>
      <t xml:space="preserve">별도 도메인 유지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채팅 흡수를 </t>
    </r>
    <r>
      <rPr>
        <sz val="11"/>
        <color theme="1"/>
        <rFont val="Noto Sans"/>
        <family val="0"/>
        <charset val="1"/>
      </rPr>
      <t xml:space="preserve">Phase 3 </t>
    </r>
    <r>
      <rPr>
        <sz val="11"/>
        <color theme="1"/>
        <rFont val="Noto Sans CJK SC"/>
        <family val="2"/>
      </rPr>
      <t xml:space="preserve">착수 전 결정</t>
    </r>
  </si>
  <si>
    <t xml:space="preserve">R-9</t>
  </si>
  <si>
    <r>
      <rPr>
        <sz val="11"/>
        <color theme="1"/>
        <rFont val="Noto Sans CJK SC"/>
        <family val="2"/>
      </rPr>
      <t xml:space="preserve">컷오버 데드라인</t>
    </r>
    <r>
      <rPr>
        <sz val="11"/>
        <color theme="1"/>
        <rFont val="Noto Sans"/>
        <family val="0"/>
        <charset val="1"/>
      </rPr>
      <t xml:space="preserve">(2027</t>
    </r>
    <r>
      <rPr>
        <sz val="11"/>
        <color theme="1"/>
        <rFont val="Noto Sans CJK SC"/>
        <family val="2"/>
      </rPr>
      <t xml:space="preserve">년 신규 기수 개원 전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과 앱 심사 일정이 맞물림</t>
    </r>
  </si>
  <si>
    <r>
      <rPr>
        <sz val="11"/>
        <color theme="1"/>
        <rFont val="Noto Sans"/>
        <family val="0"/>
        <charset val="1"/>
      </rPr>
      <t xml:space="preserve">11</t>
    </r>
    <r>
      <rPr>
        <sz val="11"/>
        <color theme="1"/>
        <rFont val="Noto Sans CJK SC"/>
        <family val="2"/>
      </rPr>
      <t xml:space="preserve">월 데이터 이관 리허설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통합 </t>
    </r>
    <r>
      <rPr>
        <sz val="11"/>
        <color theme="1"/>
        <rFont val="Noto Sans"/>
        <family val="0"/>
        <charset val="1"/>
      </rPr>
      <t xml:space="preserve">QA, 12</t>
    </r>
    <r>
      <rPr>
        <sz val="11"/>
        <color theme="1"/>
        <rFont val="Noto Sans CJK SC"/>
        <family val="2"/>
      </rPr>
      <t xml:space="preserve">월 심사 대기 병행</t>
    </r>
  </si>
  <si>
    <t xml:space="preserve">우선순위</t>
  </si>
  <si>
    <t xml:space="preserve">관련영역</t>
  </si>
  <si>
    <t xml:space="preserve">이슈 구분</t>
  </si>
  <si>
    <t xml:space="preserve">이슈 내용</t>
  </si>
  <si>
    <t xml:space="preserve">확인 필요 대상</t>
  </si>
  <si>
    <t xml:space="preserve">상태</t>
  </si>
  <si>
    <r>
      <rPr>
        <b val="true"/>
        <sz val="11"/>
        <color rgb="FFFFFFFF"/>
        <rFont val="Noto Sans CJK SC"/>
        <family val="2"/>
      </rPr>
      <t xml:space="preserve">비고</t>
    </r>
    <r>
      <rPr>
        <b val="true"/>
        <sz val="11"/>
        <color rgb="FFFFFFFF"/>
        <rFont val="Noto Sans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 코드</t>
    </r>
    <r>
      <rPr>
        <b val="true"/>
        <sz val="11"/>
        <color rgb="FFFFFFFF"/>
        <rFont val="Noto Sans"/>
        <family val="0"/>
        <charset val="1"/>
      </rPr>
      <t xml:space="preserve">)</t>
    </r>
  </si>
  <si>
    <t xml:space="preserve">최우선</t>
  </si>
  <si>
    <t xml:space="preserve">대성전산</t>
  </si>
  <si>
    <t xml:space="preserve">데이터</t>
  </si>
  <si>
    <r>
      <rPr>
        <sz val="11"/>
        <color theme="1"/>
        <rFont val="Noto Sans CJK SC"/>
        <family val="2"/>
      </rPr>
      <t xml:space="preserve">기존 </t>
    </r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데이터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상벌점 항목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과거 수납이력</t>
    </r>
    <r>
      <rPr>
        <sz val="11"/>
        <color theme="1"/>
        <rFont val="Noto Sans"/>
        <family val="0"/>
        <charset val="1"/>
      </rPr>
      <t xml:space="preserve">) export </t>
    </r>
    <r>
      <rPr>
        <sz val="11"/>
        <color theme="1"/>
        <rFont val="Noto Sans CJK SC"/>
        <family val="2"/>
      </rPr>
      <t xml:space="preserve">가능 여부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포맷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범위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초기 셋업 방식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계약 종료 전 병행 운영 가능성 → 양방향 동기화 어댑터 전제 설계</t>
    </r>
  </si>
  <si>
    <t xml:space="preserve">대성전산 협의</t>
  </si>
  <si>
    <t xml:space="preserve">미해결</t>
  </si>
  <si>
    <t xml:space="preserve">연동</t>
  </si>
  <si>
    <r>
      <rPr>
        <sz val="11"/>
        <color theme="1"/>
        <rFont val="Noto Sans CJK SC"/>
        <family val="2"/>
      </rPr>
      <t xml:space="preserve">키오스크 소유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펌웨어 제어 주체</t>
    </r>
    <r>
      <rPr>
        <sz val="11"/>
        <color theme="1"/>
        <rFont val="Noto Sans"/>
        <family val="0"/>
        <charset val="1"/>
      </rPr>
      <t xml:space="preserve">, Webhook </t>
    </r>
    <r>
      <rPr>
        <sz val="11"/>
        <color theme="1"/>
        <rFont val="Noto Sans CJK SC"/>
        <family val="2"/>
      </rPr>
      <t xml:space="preserve">엔드포인트 변경 가능 여부</t>
    </r>
    <r>
      <rPr>
        <sz val="11"/>
        <color theme="1"/>
        <rFont val="Noto Sans"/>
        <family val="0"/>
        <charset val="1"/>
      </rPr>
      <t xml:space="preserve">, payload </t>
    </r>
    <r>
      <rPr>
        <sz val="11"/>
        <color theme="1"/>
        <rFont val="Noto Sans CJK SC"/>
        <family val="2"/>
      </rPr>
      <t xml:space="preserve">포맷</t>
    </r>
    <r>
      <rPr>
        <sz val="11"/>
        <color theme="1"/>
        <rFont val="Noto Sans"/>
        <family val="0"/>
        <charset val="1"/>
      </rPr>
      <t xml:space="preserve">, NFC/RFID </t>
    </r>
    <r>
      <rPr>
        <sz val="11"/>
        <color theme="1"/>
        <rFont val="Noto Sans CJK SC"/>
        <family val="2"/>
      </rPr>
      <t xml:space="preserve">카드</t>
    </r>
    <r>
      <rPr>
        <sz val="11"/>
        <color theme="1"/>
        <rFont val="Noto Sans"/>
        <family val="0"/>
        <charset val="1"/>
      </rPr>
      <t xml:space="preserve">-</t>
    </r>
    <r>
      <rPr>
        <sz val="11"/>
        <color theme="1"/>
        <rFont val="Noto Sans CJK SC"/>
        <family val="2"/>
      </rPr>
      <t xml:space="preserve">학번 매핑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식사체크 로직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앱 동적 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토큰 검증 방식 및 좌석 이탈 입력 </t>
    </r>
    <r>
      <rPr>
        <sz val="11"/>
        <color theme="1"/>
        <rFont val="Noto Sans"/>
        <family val="0"/>
        <charset val="1"/>
      </rPr>
      <t xml:space="preserve">UI </t>
    </r>
    <r>
      <rPr>
        <sz val="11"/>
        <color theme="1"/>
        <rFont val="Noto Sans CJK SC"/>
        <family val="2"/>
      </rPr>
      <t xml:space="preserve">추가 협의 필요</t>
    </r>
  </si>
  <si>
    <r>
      <rPr>
        <sz val="11"/>
        <color theme="1"/>
        <rFont val="Noto Sans"/>
        <family val="0"/>
        <charset val="1"/>
      </rPr>
      <t xml:space="preserve">D-2 · </t>
    </r>
    <r>
      <rPr>
        <sz val="11"/>
        <color theme="1"/>
        <rFont val="Noto Sans CJK SC"/>
        <family val="2"/>
      </rPr>
      <t xml:space="preserve">출결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식사체크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좌석이탈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앱</t>
    </r>
    <r>
      <rPr>
        <sz val="11"/>
        <color theme="1"/>
        <rFont val="Noto Sans"/>
        <family val="0"/>
        <charset val="1"/>
      </rPr>
      <t xml:space="preserve">QR </t>
    </r>
    <r>
      <rPr>
        <sz val="11"/>
        <color theme="1"/>
        <rFont val="Noto Sans CJK SC"/>
        <family val="2"/>
      </rPr>
      <t xml:space="preserve">전체의 착수 블로커</t>
    </r>
  </si>
  <si>
    <r>
      <rPr>
        <sz val="11"/>
        <color theme="1"/>
        <rFont val="Noto Sans CJK SC"/>
        <family val="2"/>
      </rPr>
      <t xml:space="preserve">대성전산 수납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조회 방식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엔드포인트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인증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응답 필드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실시간성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미납자 명세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</si>
  <si>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해소</t>
    </r>
    <r>
      <rPr>
        <sz val="11"/>
        <color theme="1"/>
        <rFont val="Noto Sans"/>
        <family val="0"/>
        <charset val="1"/>
      </rPr>
      <t xml:space="preserve">(0803)</t>
    </r>
  </si>
  <si>
    <r>
      <rPr>
        <sz val="11"/>
        <color theme="1"/>
        <rFont val="Noto Sans"/>
        <family val="0"/>
        <charset val="1"/>
      </rPr>
      <t xml:space="preserve">D-3 · </t>
    </r>
    <r>
      <rPr>
        <sz val="11"/>
        <color theme="1"/>
        <rFont val="Noto Sans CJK SC"/>
        <family val="2"/>
      </rPr>
      <t xml:space="preserve">자체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직접 결제 확정으로 신규 거래 연동 불요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과거 이력 이관</t>
    </r>
    <r>
      <rPr>
        <sz val="11"/>
        <color theme="1"/>
        <rFont val="Noto Sans"/>
        <family val="0"/>
        <charset val="1"/>
      </rPr>
      <t xml:space="preserve">(D-1)</t>
    </r>
    <r>
      <rPr>
        <sz val="11"/>
        <color theme="1"/>
        <rFont val="Noto Sans CJK SC"/>
        <family val="2"/>
      </rPr>
      <t xml:space="preserve">만 잔존</t>
    </r>
  </si>
  <si>
    <t xml:space="preserve">중</t>
  </si>
  <si>
    <t xml:space="preserve">데이터모델</t>
  </si>
  <si>
    <r>
      <rPr>
        <sz val="11"/>
        <color theme="1"/>
        <rFont val="Noto Sans CJK SC"/>
        <family val="2"/>
      </rPr>
      <t xml:space="preserve">디멤버 정의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급식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회원</t>
    </r>
    <r>
      <rPr>
        <sz val="11"/>
        <color theme="1"/>
        <rFont val="Noto Sans"/>
        <family val="0"/>
        <charset val="1"/>
      </rPr>
      <t xml:space="preserve">?), </t>
    </r>
    <r>
      <rPr>
        <sz val="11"/>
        <color theme="1"/>
        <rFont val="Noto Sans CJK SC"/>
        <family val="2"/>
      </rPr>
      <t xml:space="preserve">앱 급식 대체 후 역할 존치 여부</t>
    </r>
    <r>
      <rPr>
        <sz val="11"/>
        <color theme="1"/>
        <rFont val="Noto Sans"/>
        <family val="0"/>
        <charset val="1"/>
      </rPr>
      <t xml:space="preserve">, API </t>
    </r>
    <r>
      <rPr>
        <sz val="11"/>
        <color theme="1"/>
        <rFont val="Noto Sans CJK SC"/>
        <family val="2"/>
      </rPr>
      <t xml:space="preserve">명세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재원생</t>
    </r>
    <r>
      <rPr>
        <sz val="11"/>
        <color theme="1"/>
        <rFont val="Noto Sans"/>
        <family val="0"/>
        <charset val="1"/>
      </rPr>
      <t xml:space="preserve">=</t>
    </r>
    <r>
      <rPr>
        <sz val="11"/>
        <color theme="1"/>
        <rFont val="Noto Sans CJK SC"/>
        <family val="2"/>
      </rPr>
      <t xml:space="preserve">앱 사용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교사</t>
    </r>
    <r>
      <rPr>
        <sz val="11"/>
        <color theme="1"/>
        <rFont val="Noto Sans"/>
        <family val="0"/>
        <charset val="1"/>
      </rPr>
      <t xml:space="preserve">=</t>
    </r>
    <r>
      <rPr>
        <sz val="11"/>
        <color theme="1"/>
        <rFont val="Noto Sans CJK SC"/>
        <family val="2"/>
      </rPr>
      <t xml:space="preserve">디멤버 사이트 관리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급식 결제 자체 처리로 연동 범위 축소 — 입학예약폼</t>
    </r>
    <r>
      <rPr>
        <sz val="11"/>
        <color theme="1"/>
        <rFont val="Noto Sans"/>
        <family val="0"/>
        <charset val="1"/>
      </rPr>
      <t xml:space="preserve">(D-7) </t>
    </r>
    <r>
      <rPr>
        <sz val="11"/>
        <color theme="1"/>
        <rFont val="Noto Sans CJK SC"/>
        <family val="2"/>
      </rPr>
      <t xml:space="preserve">연계만 잔존</t>
    </r>
  </si>
  <si>
    <t xml:space="preserve">부분해소</t>
  </si>
  <si>
    <t xml:space="preserve">D-4</t>
  </si>
  <si>
    <t xml:space="preserve">높음</t>
  </si>
  <si>
    <t xml:space="preserve">아키텍처</t>
  </si>
  <si>
    <r>
      <rPr>
        <sz val="11"/>
        <color theme="1"/>
        <rFont val="Noto Sans CJK SC"/>
        <family val="2"/>
      </rPr>
      <t xml:space="preserve">대성전산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최종 존치 범위 — ▷</t>
    </r>
    <r>
      <rPr>
        <sz val="11"/>
        <color theme="1"/>
        <rFont val="Noto Sans"/>
        <family val="0"/>
        <charset val="1"/>
      </rPr>
      <t xml:space="preserve">[0803] </t>
    </r>
    <r>
      <rPr>
        <sz val="11"/>
        <color theme="1"/>
        <rFont val="Noto Sans CJK SC"/>
        <family val="2"/>
      </rPr>
      <t xml:space="preserve">자체 수납 확정으로 잔존 근거는 과거 이력 이관뿐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존치 범위 문서 확정 필요</t>
    </r>
  </si>
  <si>
    <t xml:space="preserve">내부 확정</t>
  </si>
  <si>
    <t xml:space="preserve">D-5</t>
  </si>
  <si>
    <r>
      <rPr>
        <sz val="11"/>
        <color theme="1"/>
        <rFont val="Noto Sans CJK SC"/>
        <family val="2"/>
      </rPr>
      <t xml:space="preserve">앱 급식 결제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취소의 대성전산 수납 반영 방식</t>
    </r>
  </si>
  <si>
    <r>
      <rPr>
        <sz val="11"/>
        <color theme="1"/>
        <rFont val="Noto Sans"/>
        <family val="0"/>
        <charset val="1"/>
      </rPr>
      <t xml:space="preserve">D-6 · </t>
    </r>
    <r>
      <rPr>
        <sz val="11"/>
        <color theme="1"/>
        <rFont val="Noto Sans CJK SC"/>
        <family val="2"/>
      </rPr>
      <t xml:space="preserve">자체 </t>
    </r>
    <r>
      <rPr>
        <sz val="11"/>
        <color theme="1"/>
        <rFont val="Noto Sans"/>
        <family val="0"/>
        <charset val="1"/>
      </rPr>
      <t xml:space="preserve">payment_transactions </t>
    </r>
    <r>
      <rPr>
        <sz val="11"/>
        <color theme="1"/>
        <rFont val="Noto Sans CJK SC"/>
        <family val="2"/>
      </rPr>
      <t xml:space="preserve">적재로 대체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대성 </t>
    </r>
    <r>
      <rPr>
        <sz val="11"/>
        <color theme="1"/>
        <rFont val="Noto Sans"/>
        <family val="0"/>
        <charset val="1"/>
      </rPr>
      <t xml:space="preserve">write </t>
    </r>
    <r>
      <rPr>
        <sz val="11"/>
        <color theme="1"/>
        <rFont val="Noto Sans CJK SC"/>
        <family val="2"/>
      </rPr>
      <t xml:space="preserve">불요</t>
    </r>
  </si>
  <si>
    <r>
      <rPr>
        <sz val="11"/>
        <color theme="1"/>
        <rFont val="Noto Sans CJK SC"/>
        <family val="2"/>
      </rPr>
      <t xml:space="preserve">디멤버 입학예약폼 항목 확정본 전달 요청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대성 확정 후 개발팀 전달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</si>
  <si>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D-7 · </t>
    </r>
    <r>
      <rPr>
        <sz val="11"/>
        <color theme="1"/>
        <rFont val="Noto Sans CJK SC"/>
        <family val="2"/>
      </rPr>
      <t xml:space="preserve">대기자 관리 연동 착수 블로커</t>
    </r>
  </si>
  <si>
    <t xml:space="preserve">일정</t>
  </si>
  <si>
    <r>
      <rPr>
        <sz val="11"/>
        <color theme="1"/>
        <rFont val="Noto Sans CJK SC"/>
        <family val="2"/>
      </rPr>
      <t xml:space="preserve">대성전산 </t>
    </r>
    <r>
      <rPr>
        <sz val="11"/>
        <color theme="1"/>
        <rFont val="Noto Sans"/>
        <family val="0"/>
        <charset val="1"/>
      </rPr>
      <t xml:space="preserve">DSA </t>
    </r>
    <r>
      <rPr>
        <sz val="11"/>
        <color theme="1"/>
        <rFont val="Noto Sans CJK SC"/>
        <family val="2"/>
      </rPr>
      <t xml:space="preserve">계약 종료 시점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병행 운영 기간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전환 시점</t>
    </r>
    <r>
      <rPr>
        <sz val="11"/>
        <color theme="1"/>
        <rFont val="Noto Sans"/>
        <family val="0"/>
        <charset val="1"/>
      </rPr>
      <t xml:space="preserve">) → </t>
    </r>
    <r>
      <rPr>
        <sz val="11"/>
        <color theme="1"/>
        <rFont val="Noto Sans CJK SC"/>
        <family val="2"/>
      </rPr>
      <t xml:space="preserve">동기화 전략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컷오버 계획</t>
    </r>
  </si>
  <si>
    <t xml:space="preserve">행정팀 확인</t>
  </si>
  <si>
    <r>
      <rPr>
        <sz val="11"/>
        <color theme="1"/>
        <rFont val="Noto Sans"/>
        <family val="0"/>
        <charset val="1"/>
      </rPr>
      <t xml:space="preserve">D-8 · </t>
    </r>
    <r>
      <rPr>
        <sz val="11"/>
        <color theme="1"/>
        <rFont val="Noto Sans CJK SC"/>
        <family val="2"/>
      </rPr>
      <t xml:space="preserve">마이그레이션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컷오버</t>
    </r>
    <r>
      <rPr>
        <sz val="11"/>
        <color theme="1"/>
        <rFont val="Noto Sans"/>
        <family val="0"/>
        <charset val="1"/>
      </rPr>
      <t xml:space="preserve">(Phase 4)</t>
    </r>
  </si>
  <si>
    <r>
      <rPr>
        <sz val="11"/>
        <color theme="1"/>
        <rFont val="Noto Sans CJK SC"/>
        <family val="2"/>
      </rPr>
      <t xml:space="preserve">등록비</t>
    </r>
    <r>
      <rPr>
        <sz val="11"/>
        <color theme="1"/>
        <rFont val="Noto Sans"/>
        <family val="0"/>
        <charset val="1"/>
      </rPr>
      <t xml:space="preserve">(TUITION) </t>
    </r>
    <r>
      <rPr>
        <sz val="11"/>
        <color theme="1"/>
        <rFont val="Noto Sans CJK SC"/>
        <family val="2"/>
      </rPr>
      <t xml:space="preserve">결제 주체 확정</t>
    </r>
  </si>
  <si>
    <r>
      <rPr>
        <sz val="11"/>
        <color theme="1"/>
        <rFont val="Noto Sans"/>
        <family val="0"/>
        <charset val="1"/>
      </rPr>
      <t xml:space="preserve">D-9 · </t>
    </r>
    <r>
      <rPr>
        <sz val="11"/>
        <color theme="1"/>
        <rFont val="Noto Sans CJK SC"/>
        <family val="2"/>
      </rPr>
      <t xml:space="preserve">디랩 자체 명의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직접결제 확정</t>
    </r>
  </si>
  <si>
    <r>
      <rPr>
        <sz val="11"/>
        <color theme="1"/>
        <rFont val="Noto Sans"/>
        <family val="0"/>
        <charset val="1"/>
      </rPr>
      <t xml:space="preserve">D.Lab</t>
    </r>
    <r>
      <rPr>
        <sz val="11"/>
        <color theme="1"/>
        <rFont val="Noto Sans CJK SC"/>
        <family val="2"/>
      </rPr>
      <t xml:space="preserve">사이트</t>
    </r>
    <r>
      <rPr>
        <sz val="11"/>
        <color theme="1"/>
        <rFont val="Noto Sans"/>
        <family val="0"/>
        <charset val="1"/>
      </rPr>
      <t xml:space="preserve">(DSD)</t>
    </r>
  </si>
  <si>
    <r>
      <rPr>
        <sz val="11"/>
        <color theme="1"/>
        <rFont val="Noto Sans CJK SC"/>
        <family val="2"/>
      </rPr>
      <t xml:space="preserve">디멤버 사이트 입학예약폼 확정본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데이터 연동 방식</t>
    </r>
    <r>
      <rPr>
        <sz val="11"/>
        <color theme="1"/>
        <rFont val="Noto Sans"/>
        <family val="0"/>
        <charset val="1"/>
      </rPr>
      <t xml:space="preserve">(API/DB)</t>
    </r>
  </si>
  <si>
    <r>
      <rPr>
        <sz val="11"/>
        <color theme="1"/>
        <rFont val="Noto Sans"/>
        <family val="0"/>
        <charset val="1"/>
      </rPr>
      <t xml:space="preserve">DSD </t>
    </r>
    <r>
      <rPr>
        <sz val="11"/>
        <color theme="1"/>
        <rFont val="Noto Sans CJK SC"/>
        <family val="2"/>
      </rPr>
      <t xml:space="preserve">협의</t>
    </r>
  </si>
  <si>
    <r>
      <rPr>
        <sz val="11"/>
        <color theme="1"/>
        <rFont val="Noto Sans"/>
        <family val="0"/>
        <charset val="1"/>
      </rPr>
      <t xml:space="preserve">S-1 · </t>
    </r>
    <r>
      <rPr>
        <sz val="11"/>
        <color theme="1"/>
        <rFont val="Noto Sans CJK SC"/>
        <family val="2"/>
      </rPr>
      <t xml:space="preserve">대기자 관리</t>
    </r>
    <r>
      <rPr>
        <sz val="11"/>
        <color theme="1"/>
        <rFont val="Noto Sans"/>
        <family val="0"/>
        <charset val="1"/>
      </rPr>
      <t xml:space="preserve">, D-7</t>
    </r>
    <r>
      <rPr>
        <sz val="11"/>
        <color theme="1"/>
        <rFont val="Noto Sans CJK SC"/>
        <family val="2"/>
      </rPr>
      <t xml:space="preserve">과 연동</t>
    </r>
  </si>
  <si>
    <r>
      <rPr>
        <sz val="11"/>
        <color theme="1"/>
        <rFont val="Noto Sans CJK SC"/>
        <family val="2"/>
      </rPr>
      <t xml:space="preserve">성적표 </t>
    </r>
    <r>
      <rPr>
        <sz val="11"/>
        <color theme="1"/>
        <rFont val="Noto Sans"/>
        <family val="0"/>
        <charset val="1"/>
      </rPr>
      <t xml:space="preserve">PDF → D.Lab </t>
    </r>
    <r>
      <rPr>
        <sz val="11"/>
        <color theme="1"/>
        <rFont val="Noto Sans CJK SC"/>
        <family val="2"/>
      </rPr>
      <t xml:space="preserve">사이트 업로드 </t>
    </r>
    <r>
      <rPr>
        <sz val="11"/>
        <color theme="1"/>
        <rFont val="Noto Sans"/>
        <family val="0"/>
        <charset val="1"/>
      </rPr>
      <t xml:space="preserve">API/</t>
    </r>
    <r>
      <rPr>
        <sz val="11"/>
        <color theme="1"/>
        <rFont val="Noto Sans CJK SC"/>
        <family val="2"/>
      </rPr>
      <t xml:space="preserve">엔드포인트</t>
    </r>
  </si>
  <si>
    <r>
      <rPr>
        <sz val="11"/>
        <color theme="1"/>
        <rFont val="Noto Sans"/>
        <family val="0"/>
        <charset val="1"/>
      </rPr>
      <t xml:space="preserve">S-2 · </t>
    </r>
    <r>
      <rPr>
        <sz val="11"/>
        <color theme="1"/>
        <rFont val="Noto Sans CJK SC"/>
        <family val="2"/>
      </rPr>
      <t xml:space="preserve">성적 관리</t>
    </r>
  </si>
  <si>
    <t xml:space="preserve">하</t>
  </si>
  <si>
    <r>
      <rPr>
        <sz val="11"/>
        <color theme="1"/>
        <rFont val="Noto Sans CJK SC"/>
        <family val="2"/>
      </rPr>
      <t xml:space="preserve">교재 판매 웹뷰 </t>
    </r>
    <r>
      <rPr>
        <sz val="11"/>
        <color theme="1"/>
        <rFont val="Noto Sans"/>
        <family val="0"/>
        <charset val="1"/>
      </rPr>
      <t xml:space="preserve">URL·</t>
    </r>
    <r>
      <rPr>
        <sz val="11"/>
        <color theme="1"/>
        <rFont val="Noto Sans CJK SC"/>
        <family val="2"/>
      </rPr>
      <t xml:space="preserve">세션 연동 방식</t>
    </r>
    <r>
      <rPr>
        <sz val="11"/>
        <color theme="1"/>
        <rFont val="Noto Sans"/>
        <family val="0"/>
        <charset val="1"/>
      </rPr>
      <t xml:space="preserve">(2027-12</t>
    </r>
    <r>
      <rPr>
        <sz val="11"/>
        <color theme="1"/>
        <rFont val="Noto Sans CJK SC"/>
        <family val="2"/>
      </rPr>
      <t xml:space="preserve">까지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</si>
  <si>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S-3 · ▷[0803] </t>
    </r>
    <r>
      <rPr>
        <sz val="11"/>
        <color theme="1"/>
        <rFont val="Noto Sans CJK SC"/>
        <family val="2"/>
      </rPr>
      <t xml:space="preserve">앱 화면 보류 확정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진행 확정 시 </t>
    </r>
    <r>
      <rPr>
        <sz val="11"/>
        <color theme="1"/>
        <rFont val="Noto Sans"/>
        <family val="0"/>
        <charset val="1"/>
      </rPr>
      <t xml:space="preserve">Phase 4 </t>
    </r>
    <r>
      <rPr>
        <sz val="11"/>
        <color theme="1"/>
        <rFont val="Noto Sans CJK SC"/>
        <family val="2"/>
      </rPr>
      <t xml:space="preserve">재편입</t>
    </r>
  </si>
  <si>
    <r>
      <rPr>
        <sz val="11"/>
        <color theme="1"/>
        <rFont val="Noto Sans CJK SC"/>
        <family val="2"/>
      </rPr>
      <t xml:space="preserve">현재 </t>
    </r>
    <r>
      <rPr>
        <sz val="11"/>
        <color theme="1"/>
        <rFont val="Noto Sans"/>
        <family val="0"/>
        <charset val="1"/>
      </rPr>
      <t xml:space="preserve">DSA</t>
    </r>
    <r>
      <rPr>
        <sz val="11"/>
        <color theme="1"/>
        <rFont val="Noto Sans CJK SC"/>
        <family val="2"/>
      </rPr>
      <t xml:space="preserve">에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연동으로 상담신청 중 → 해당 엔드포인트 명세 요청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입학예약 상담 관리</t>
    </r>
    <r>
      <rPr>
        <sz val="11"/>
        <color theme="1"/>
        <rFont val="Noto Sans"/>
        <family val="0"/>
        <charset val="1"/>
      </rPr>
      <t xml:space="preserve">(F-4.2-2) </t>
    </r>
    <r>
      <rPr>
        <sz val="11"/>
        <color theme="1"/>
        <rFont val="Noto Sans CJK SC"/>
        <family val="2"/>
      </rPr>
      <t xml:space="preserve">신규 편입으로 우선순위 상향</t>
    </r>
  </si>
  <si>
    <r>
      <rPr>
        <sz val="11"/>
        <color theme="1"/>
        <rFont val="Noto Sans"/>
        <family val="0"/>
        <charset val="1"/>
      </rPr>
      <t xml:space="preserve">S-4 · </t>
    </r>
    <r>
      <rPr>
        <sz val="11"/>
        <color theme="1"/>
        <rFont val="Noto Sans CJK SC"/>
        <family val="2"/>
      </rPr>
      <t xml:space="preserve">입학예약 상담 관리 착수 블로커</t>
    </r>
  </si>
  <si>
    <t xml:space="preserve">행정</t>
  </si>
  <si>
    <r>
      <rPr>
        <sz val="11"/>
        <color theme="1"/>
        <rFont val="Noto Sans"/>
        <family val="0"/>
        <charset val="1"/>
      </rPr>
      <t xml:space="preserve">DSD </t>
    </r>
    <r>
      <rPr>
        <sz val="11"/>
        <color theme="1"/>
        <rFont val="Noto Sans CJK SC"/>
        <family val="2"/>
      </rPr>
      <t xml:space="preserve">스토어 계정 보유 → 신규 앱 배포용 계정 사용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권한 위임 방식 확정</t>
    </r>
    <r>
      <rPr>
        <sz val="11"/>
        <color theme="1"/>
        <rFont val="Noto Sans"/>
        <family val="0"/>
        <charset val="1"/>
      </rPr>
      <t xml:space="preserve">. ▷[0803] Phase 0 TestFlight/</t>
    </r>
    <r>
      <rPr>
        <sz val="11"/>
        <color theme="1"/>
        <rFont val="Noto Sans CJK SC"/>
        <family val="2"/>
      </rPr>
      <t xml:space="preserve">내부테스트 트랙 개설 선행 필요로 우선순위 상향</t>
    </r>
  </si>
  <si>
    <r>
      <rPr>
        <sz val="11"/>
        <color theme="1"/>
        <rFont val="Noto Sans"/>
        <family val="0"/>
        <charset val="1"/>
      </rPr>
      <t xml:space="preserve">S-5 · </t>
    </r>
    <r>
      <rPr>
        <sz val="11"/>
        <color theme="1"/>
        <rFont val="Noto Sans CJK SC"/>
        <family val="2"/>
      </rPr>
      <t xml:space="preserve">앱 배포</t>
    </r>
  </si>
  <si>
    <t xml:space="preserve">기타 외부연동</t>
  </si>
  <si>
    <r>
      <rPr>
        <sz val="11"/>
        <color theme="1"/>
        <rFont val="Noto Sans"/>
        <family val="0"/>
        <charset val="1"/>
      </rPr>
      <t xml:space="preserve">Zyxel Nebula API </t>
    </r>
    <r>
      <rPr>
        <sz val="11"/>
        <color theme="1"/>
        <rFont val="Noto Sans CJK SC"/>
        <family val="2"/>
      </rPr>
      <t xml:space="preserve">크레덴셜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권한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제어 단위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단말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정책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그룹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인강 화이트리스트 관리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방화벽 해제 관리</t>
    </r>
    <r>
      <rPr>
        <sz val="11"/>
        <color theme="1"/>
        <rFont val="Noto Sans"/>
        <family val="0"/>
        <charset val="1"/>
      </rPr>
      <t xml:space="preserve">(F-4.11-10)·</t>
    </r>
    <r>
      <rPr>
        <sz val="11"/>
        <color theme="1"/>
        <rFont val="Noto Sans CJK SC"/>
        <family val="2"/>
      </rPr>
      <t xml:space="preserve">앱 신청</t>
    </r>
    <r>
      <rPr>
        <sz val="11"/>
        <color theme="1"/>
        <rFont val="Noto Sans"/>
        <family val="0"/>
        <charset val="1"/>
      </rPr>
      <t xml:space="preserve">(A-8) </t>
    </r>
    <r>
      <rPr>
        <sz val="11"/>
        <color theme="1"/>
        <rFont val="Noto Sans CJK SC"/>
        <family val="2"/>
      </rPr>
      <t xml:space="preserve">신규 편입으로 우선순위 상향</t>
    </r>
  </si>
  <si>
    <t xml:space="preserve">자이엘코리아</t>
  </si>
  <si>
    <r>
      <rPr>
        <sz val="11"/>
        <color theme="1"/>
        <rFont val="Noto Sans"/>
        <family val="0"/>
        <charset val="1"/>
      </rPr>
      <t xml:space="preserve">E-1 · </t>
    </r>
    <r>
      <rPr>
        <sz val="11"/>
        <color theme="1"/>
        <rFont val="Noto Sans CJK SC"/>
        <family val="2"/>
      </rPr>
      <t xml:space="preserve">방화벽 착수 블로커</t>
    </r>
  </si>
  <si>
    <r>
      <rPr>
        <sz val="11"/>
        <color theme="1"/>
        <rFont val="Noto Sans CJK SC"/>
        <family val="2"/>
      </rPr>
      <t xml:space="preserve">더프리미엄모의고사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명세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인증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전화번호 기반 응답 필드</t>
    </r>
    <r>
      <rPr>
        <sz val="11"/>
        <color theme="1"/>
        <rFont val="Noto Sans"/>
        <family val="0"/>
        <charset val="1"/>
      </rPr>
      <t xml:space="preserve">, rate limit, </t>
    </r>
    <r>
      <rPr>
        <sz val="11"/>
        <color theme="1"/>
        <rFont val="Noto Sans CJK SC"/>
        <family val="2"/>
      </rPr>
      <t xml:space="preserve">성적표 원본 제공 여부</t>
    </r>
  </si>
  <si>
    <t xml:space="preserve">더프리미엄</t>
  </si>
  <si>
    <r>
      <rPr>
        <sz val="11"/>
        <color theme="1"/>
        <rFont val="Noto Sans"/>
        <family val="0"/>
        <charset val="1"/>
      </rPr>
      <t xml:space="preserve">E-2 · </t>
    </r>
    <r>
      <rPr>
        <sz val="11"/>
        <color theme="1"/>
        <rFont val="Noto Sans CJK SC"/>
        <family val="2"/>
      </rPr>
      <t xml:space="preserve">성적 관리</t>
    </r>
    <r>
      <rPr>
        <sz val="11"/>
        <color theme="1"/>
        <rFont val="Noto Sans"/>
        <family val="0"/>
        <charset val="1"/>
      </rPr>
      <t xml:space="preserve">(Phase 3) </t>
    </r>
    <r>
      <rPr>
        <sz val="11"/>
        <color theme="1"/>
        <rFont val="Noto Sans CJK SC"/>
        <family val="2"/>
      </rPr>
      <t xml:space="preserve">착수 블로커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</si>
  <si>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급식업체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연동 폐기 — 디랩 자체 명의 </t>
    </r>
    <r>
      <rPr>
        <sz val="11"/>
        <color theme="1"/>
        <rFont val="Noto Sans"/>
        <family val="0"/>
        <charset val="1"/>
      </rPr>
      <t xml:space="preserve">PG</t>
    </r>
    <r>
      <rPr>
        <sz val="11"/>
        <color theme="1"/>
        <rFont val="Noto Sans CJK SC"/>
        <family val="2"/>
      </rPr>
      <t xml:space="preserve">로 단일화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잔여 과제</t>
    </r>
    <r>
      <rPr>
        <sz val="11"/>
        <color theme="1"/>
        <rFont val="Noto Sans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디랩 </t>
    </r>
    <r>
      <rPr>
        <sz val="11"/>
        <color theme="1"/>
        <rFont val="Noto Sans"/>
        <family val="0"/>
        <charset val="1"/>
      </rPr>
      <t xml:space="preserve">PG </t>
    </r>
    <r>
      <rPr>
        <sz val="11"/>
        <color theme="1"/>
        <rFont val="Noto Sans CJK SC"/>
        <family val="2"/>
      </rPr>
      <t xml:space="preserve">가맹점정보</t>
    </r>
    <r>
      <rPr>
        <sz val="11"/>
        <color theme="1"/>
        <rFont val="Noto Sans"/>
        <family val="0"/>
        <charset val="1"/>
      </rPr>
      <t xml:space="preserve">(MID)·</t>
    </r>
    <r>
      <rPr>
        <sz val="11"/>
        <color theme="1"/>
        <rFont val="Noto Sans CJK SC"/>
        <family val="2"/>
      </rPr>
      <t xml:space="preserve">카드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가상계좌 </t>
    </r>
    <r>
      <rPr>
        <sz val="11"/>
        <color theme="1"/>
        <rFont val="Noto Sans"/>
        <family val="0"/>
        <charset val="1"/>
      </rPr>
      <t xml:space="preserve">API </t>
    </r>
    <r>
      <rPr>
        <sz val="11"/>
        <color theme="1"/>
        <rFont val="Noto Sans CJK SC"/>
        <family val="2"/>
      </rPr>
      <t xml:space="preserve">스펙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테스트 가맹점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정산주기 내부 확보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외부 수급 아님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</si>
  <si>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기획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행정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내부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</si>
  <si>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재정의</t>
    </r>
    <r>
      <rPr>
        <sz val="11"/>
        <color theme="1"/>
        <rFont val="Noto Sans"/>
        <family val="0"/>
        <charset val="1"/>
      </rPr>
      <t xml:space="preserve">(0803)</t>
    </r>
  </si>
  <si>
    <r>
      <rPr>
        <sz val="11"/>
        <color theme="1"/>
        <rFont val="Noto Sans"/>
        <family val="0"/>
        <charset val="1"/>
      </rPr>
      <t xml:space="preserve">E-3 · </t>
    </r>
    <r>
      <rPr>
        <sz val="11"/>
        <color theme="1"/>
        <rFont val="Noto Sans CJK SC"/>
        <family val="2"/>
      </rPr>
      <t xml:space="preserve">급식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수납 공통 </t>
    </r>
    <r>
      <rPr>
        <sz val="11"/>
        <color theme="1"/>
        <rFont val="Noto Sans"/>
        <family val="0"/>
        <charset val="1"/>
      </rPr>
      <t xml:space="preserve">PG</t>
    </r>
  </si>
  <si>
    <t xml:space="preserve">계약</t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</si>
  <si>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결제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환불 연동 불요로 축소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잔여</t>
    </r>
    <r>
      <rPr>
        <sz val="11"/>
        <color theme="1"/>
        <rFont val="Noto Sans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급식업체 연락처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식수 마감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신청 데이터 전달 방식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메뉴 제공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식수 기준 정산 지급 절차</t>
    </r>
  </si>
  <si>
    <t xml:space="preserve">급식업체</t>
  </si>
  <si>
    <t xml:space="preserve">E-4</t>
  </si>
  <si>
    <r>
      <rPr>
        <sz val="11"/>
        <color theme="1"/>
        <rFont val="Noto Sans CJK SC"/>
        <family val="2"/>
      </rPr>
      <t xml:space="preserve">카카오 알림톡 발신 프로필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템플릿 사전 승인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문자 대체발송</t>
    </r>
    <r>
      <rPr>
        <sz val="11"/>
        <color theme="1"/>
        <rFont val="Noto Sans"/>
        <family val="0"/>
        <charset val="1"/>
      </rPr>
      <t xml:space="preserve">. SMS </t>
    </r>
    <r>
      <rPr>
        <sz val="11"/>
        <color theme="1"/>
        <rFont val="Noto Sans CJK SC"/>
        <family val="2"/>
      </rPr>
      <t xml:space="preserve">폴백 폐기로 대체 수단 없음</t>
    </r>
  </si>
  <si>
    <t xml:space="preserve">카카오</t>
  </si>
  <si>
    <r>
      <rPr>
        <sz val="11"/>
        <color theme="1"/>
        <rFont val="Noto Sans"/>
        <family val="0"/>
        <charset val="1"/>
      </rPr>
      <t xml:space="preserve">E-5 · </t>
    </r>
    <r>
      <rPr>
        <sz val="11"/>
        <color theme="1"/>
        <rFont val="Noto Sans CJK SC"/>
        <family val="2"/>
      </rPr>
      <t xml:space="preserve">알림 발송</t>
    </r>
    <r>
      <rPr>
        <sz val="11"/>
        <color theme="1"/>
        <rFont val="Noto Sans"/>
        <family val="0"/>
        <charset val="1"/>
      </rPr>
      <t xml:space="preserve">(Phase 1) </t>
    </r>
    <r>
      <rPr>
        <sz val="11"/>
        <color theme="1"/>
        <rFont val="Noto Sans CJK SC"/>
        <family val="2"/>
      </rPr>
      <t xml:space="preserve">착수 블로커</t>
    </r>
  </si>
  <si>
    <t xml:space="preserve">선정</t>
  </si>
  <si>
    <r>
      <rPr>
        <sz val="11"/>
        <color theme="1"/>
        <rFont val="Noto Sans"/>
        <family val="0"/>
        <charset val="1"/>
      </rPr>
      <t xml:space="preserve">1:1 </t>
    </r>
    <r>
      <rPr>
        <sz val="11"/>
        <color theme="1"/>
        <rFont val="Noto Sans CJK SC"/>
        <family val="2"/>
      </rPr>
      <t xml:space="preserve">채팅용 외부 유료 메신저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만명 규모 제품 선정</t>
    </r>
    <r>
      <rPr>
        <sz val="11"/>
        <color theme="1"/>
        <rFont val="Noto Sans"/>
        <family val="0"/>
        <charset val="1"/>
      </rPr>
      <t xml:space="preserve">, React·Flutter </t>
    </r>
    <r>
      <rPr>
        <sz val="11"/>
        <color theme="1"/>
        <rFont val="Noto Sans CJK SC"/>
        <family val="2"/>
      </rPr>
      <t xml:space="preserve">연동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개인정보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보안 검토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가족 채팅방 폐기로 그룹 스레드 요건 제외 → 후보 재검토</t>
    </r>
  </si>
  <si>
    <t xml:space="preserve">개발팀 조사</t>
  </si>
  <si>
    <r>
      <rPr>
        <sz val="11"/>
        <color theme="1"/>
        <rFont val="Noto Sans"/>
        <family val="0"/>
        <charset val="1"/>
      </rPr>
      <t xml:space="preserve">E-6 · </t>
    </r>
    <r>
      <rPr>
        <sz val="11"/>
        <color theme="1"/>
        <rFont val="Noto Sans CJK SC"/>
        <family val="2"/>
      </rPr>
      <t xml:space="preserve">메시지 관리</t>
    </r>
    <r>
      <rPr>
        <sz val="11"/>
        <color theme="1"/>
        <rFont val="Noto Sans"/>
        <family val="0"/>
        <charset val="1"/>
      </rPr>
      <t xml:space="preserve">(Phase 3) </t>
    </r>
    <r>
      <rPr>
        <sz val="11"/>
        <color theme="1"/>
        <rFont val="Noto Sans CJK SC"/>
        <family val="2"/>
      </rPr>
      <t xml:space="preserve">착수 블로커</t>
    </r>
  </si>
  <si>
    <r>
      <rPr>
        <sz val="11"/>
        <color theme="1"/>
        <rFont val="Noto Sans CJK SC"/>
        <family val="2"/>
      </rPr>
      <t xml:space="preserve">내부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운영팀</t>
    </r>
    <r>
      <rPr>
        <sz val="11"/>
        <color theme="1"/>
        <rFont val="Noto Sans"/>
        <family val="0"/>
        <charset val="1"/>
      </rPr>
      <t xml:space="preserve">)</t>
    </r>
  </si>
  <si>
    <t xml:space="preserve">정책</t>
  </si>
  <si>
    <r>
      <rPr>
        <sz val="11"/>
        <color theme="1"/>
        <rFont val="Noto Sans CJK SC"/>
        <family val="2"/>
      </rPr>
      <t xml:space="preserve">교무업무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구분 항목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재정의 — 현재 불명확</t>
    </r>
  </si>
  <si>
    <t xml:space="preserve">운영팀</t>
  </si>
  <si>
    <r>
      <rPr>
        <sz val="11"/>
        <color theme="1"/>
        <rFont val="Noto Sans"/>
        <family val="0"/>
        <charset val="1"/>
      </rPr>
      <t xml:space="preserve">I-1 · </t>
    </r>
    <r>
      <rPr>
        <sz val="11"/>
        <color theme="1"/>
        <rFont val="Noto Sans CJK SC"/>
        <family val="2"/>
      </rPr>
      <t xml:space="preserve">개발 착수 전 필수</t>
    </r>
  </si>
  <si>
    <r>
      <rPr>
        <sz val="11"/>
        <color theme="1"/>
        <rFont val="Noto Sans CJK SC"/>
        <family val="2"/>
      </rPr>
      <t xml:space="preserve">상담 양식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상담 리포트 양식 및 발송 주기 확정</t>
    </r>
  </si>
  <si>
    <r>
      <rPr>
        <sz val="11"/>
        <color theme="1"/>
        <rFont val="Noto Sans"/>
        <family val="0"/>
        <charset val="1"/>
      </rPr>
      <t xml:space="preserve">I-2 · </t>
    </r>
    <r>
      <rPr>
        <sz val="11"/>
        <color theme="1"/>
        <rFont val="Noto Sans CJK SC"/>
        <family val="2"/>
      </rPr>
      <t xml:space="preserve">성적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상담 모듈 착수 전</t>
    </r>
  </si>
  <si>
    <t xml:space="preserve">앱 행정 요청 클릭 항목 리스트</t>
  </si>
  <si>
    <r>
      <rPr>
        <sz val="11"/>
        <color theme="1"/>
        <rFont val="Noto Sans"/>
        <family val="0"/>
        <charset val="1"/>
      </rPr>
      <t xml:space="preserve">I-3 · </t>
    </r>
    <r>
      <rPr>
        <sz val="11"/>
        <color theme="1"/>
        <rFont val="Noto Sans CJK SC"/>
        <family val="2"/>
      </rPr>
      <t xml:space="preserve">메시지 모듈 착수 전</t>
    </r>
  </si>
  <si>
    <r>
      <rPr>
        <sz val="11"/>
        <color theme="1"/>
        <rFont val="Noto Sans CJK SC"/>
        <family val="2"/>
      </rPr>
      <t xml:space="preserve">알림톡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푸시 전체 문구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이벤트별 채널 매핑표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알림톡</t>
    </r>
    <r>
      <rPr>
        <sz val="11"/>
        <color theme="1"/>
        <rFont val="Noto Sans"/>
        <family val="0"/>
        <charset val="1"/>
      </rPr>
      <t xml:space="preserve">/FCM/</t>
    </r>
    <r>
      <rPr>
        <sz val="11"/>
        <color theme="1"/>
        <rFont val="Noto Sans CJK SC"/>
        <family val="2"/>
      </rPr>
      <t xml:space="preserve">양쪽</t>
    </r>
    <r>
      <rPr>
        <sz val="11"/>
        <color theme="1"/>
        <rFont val="Noto Sans"/>
        <family val="0"/>
        <charset val="1"/>
      </rPr>
      <t xml:space="preserve">). </t>
    </r>
    <r>
      <rPr>
        <sz val="11"/>
        <color theme="1"/>
        <rFont val="Noto Sans CJK SC"/>
        <family val="2"/>
      </rPr>
      <t xml:space="preserve">템플릿 심사 접수의 선행조건</t>
    </r>
  </si>
  <si>
    <r>
      <rPr>
        <sz val="11"/>
        <color theme="1"/>
        <rFont val="Noto Sans"/>
        <family val="0"/>
        <charset val="1"/>
      </rPr>
      <t xml:space="preserve">I-4 · </t>
    </r>
    <r>
      <rPr>
        <sz val="11"/>
        <color theme="1"/>
        <rFont val="Noto Sans CJK SC"/>
        <family val="2"/>
      </rPr>
      <t xml:space="preserve">알림 연동 전</t>
    </r>
  </si>
  <si>
    <r>
      <rPr>
        <sz val="11"/>
        <color theme="1"/>
        <rFont val="Noto Sans CJK SC"/>
        <family val="2"/>
      </rPr>
      <t xml:space="preserve">데일리루틴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출결 → 상벌점 자동 부여 규칙 매핑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순찰 폐기로 </t>
    </r>
    <r>
      <rPr>
        <sz val="11"/>
        <color theme="1"/>
        <rFont val="Noto Sans"/>
        <family val="0"/>
        <charset val="1"/>
      </rPr>
      <t xml:space="preserve">PATROL_SLEEP_2 </t>
    </r>
    <r>
      <rPr>
        <sz val="11"/>
        <color theme="1"/>
        <rFont val="Noto Sans CJK SC"/>
        <family val="2"/>
      </rPr>
      <t xml:space="preserve">트리거 삭제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좌석 장시간 미복귀 트리거 신설 여부 포함 재정의</t>
    </r>
  </si>
  <si>
    <r>
      <rPr>
        <sz val="11"/>
        <color theme="1"/>
        <rFont val="Noto Sans"/>
        <family val="0"/>
        <charset val="1"/>
      </rPr>
      <t xml:space="preserve">I-5 · </t>
    </r>
    <r>
      <rPr>
        <sz val="11"/>
        <color theme="1"/>
        <rFont val="Noto Sans CJK SC"/>
        <family val="2"/>
      </rPr>
      <t xml:space="preserve">상벌점 엔진 설계 착수 블로커</t>
    </r>
  </si>
  <si>
    <r>
      <rPr>
        <sz val="11"/>
        <color theme="1"/>
        <rFont val="Noto Sans CJK SC"/>
        <family val="2"/>
      </rPr>
      <t xml:space="preserve">순공부시간 산출 정의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순찰 기준 삭제 → 입퇴실 </t>
    </r>
    <r>
      <rPr>
        <sz val="11"/>
        <color theme="1"/>
        <rFont val="Noto Sans"/>
        <family val="0"/>
        <charset val="1"/>
      </rPr>
      <t xml:space="preserve">+ </t>
    </r>
    <r>
      <rPr>
        <sz val="11"/>
        <color theme="1"/>
        <rFont val="Noto Sans CJK SC"/>
        <family val="2"/>
      </rPr>
      <t xml:space="preserve">좌석 이탈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복귀 로그 기준으로 재정의 필요</t>
    </r>
  </si>
  <si>
    <r>
      <rPr>
        <sz val="11"/>
        <color theme="1"/>
        <rFont val="Noto Sans"/>
        <family val="0"/>
        <charset val="1"/>
      </rPr>
      <t xml:space="preserve">I-6 · Daily Report </t>
    </r>
    <r>
      <rPr>
        <sz val="11"/>
        <color theme="1"/>
        <rFont val="Noto Sans CJK SC"/>
        <family val="2"/>
      </rPr>
      <t xml:space="preserve">설계 시</t>
    </r>
  </si>
  <si>
    <r>
      <rPr>
        <sz val="11"/>
        <color theme="1"/>
        <rFont val="Noto Sans CJK SC"/>
        <family val="2"/>
      </rPr>
      <t xml:space="preserve">학습계획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파란색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항목 정의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선생님 편집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학생 입력 경계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</si>
  <si>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I-7 · </t>
    </r>
    <r>
      <rPr>
        <sz val="11"/>
        <color theme="1"/>
        <rFont val="Noto Sans CJK SC"/>
        <family val="2"/>
      </rPr>
      <t xml:space="preserve">학습계획 모듈</t>
    </r>
  </si>
  <si>
    <r>
      <rPr>
        <sz val="11"/>
        <color theme="1"/>
        <rFont val="Noto Sans CJK SC"/>
        <family val="2"/>
      </rPr>
      <t xml:space="preserve">성적 리포트 상세 추후 확정 항목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등급 표기 방식 포함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</si>
  <si>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I-8 · </t>
    </r>
    <r>
      <rPr>
        <sz val="11"/>
        <color theme="1"/>
        <rFont val="Noto Sans CJK SC"/>
        <family val="2"/>
      </rPr>
      <t xml:space="preserve">성적 모듈 후반</t>
    </r>
  </si>
  <si>
    <t xml:space="preserve">디자인</t>
  </si>
  <si>
    <r>
      <rPr>
        <sz val="11"/>
        <color theme="1"/>
        <rFont val="Noto Sans"/>
        <family val="0"/>
        <charset val="1"/>
      </rPr>
      <t xml:space="preserve">D.Lab </t>
    </r>
    <r>
      <rPr>
        <sz val="11"/>
        <color theme="1"/>
        <rFont val="Noto Sans CJK SC"/>
        <family val="2"/>
      </rPr>
      <t xml:space="preserve">디자인 가이드 제공 예정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앱 화면 전량 신규 확정으로 </t>
    </r>
    <r>
      <rPr>
        <sz val="11"/>
        <color theme="1"/>
        <rFont val="Noto Sans"/>
        <family val="0"/>
        <charset val="1"/>
      </rPr>
      <t xml:space="preserve">FE </t>
    </r>
    <r>
      <rPr>
        <sz val="11"/>
        <color theme="1"/>
        <rFont val="Noto Sans CJK SC"/>
        <family val="2"/>
      </rPr>
      <t xml:space="preserve">착수 선행조건 격상</t>
    </r>
  </si>
  <si>
    <t xml:space="preserve">기획팀</t>
  </si>
  <si>
    <r>
      <rPr>
        <sz val="11"/>
        <color theme="1"/>
        <rFont val="Noto Sans"/>
        <family val="0"/>
        <charset val="1"/>
      </rPr>
      <t xml:space="preserve">I-9 · </t>
    </r>
    <r>
      <rPr>
        <sz val="11"/>
        <color theme="1"/>
        <rFont val="Noto Sans CJK SC"/>
        <family val="2"/>
      </rPr>
      <t xml:space="preserve">웹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앱 </t>
    </r>
    <r>
      <rPr>
        <sz val="11"/>
        <color theme="1"/>
        <rFont val="Noto Sans"/>
        <family val="0"/>
        <charset val="1"/>
      </rPr>
      <t xml:space="preserve">FE </t>
    </r>
    <r>
      <rPr>
        <sz val="11"/>
        <color theme="1"/>
        <rFont val="Noto Sans CJK SC"/>
        <family val="2"/>
      </rPr>
      <t xml:space="preserve">착수 전 필수</t>
    </r>
  </si>
  <si>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벌점 확정 후 사유 승인 불가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의 확정 기준</t>
    </r>
  </si>
  <si>
    <r>
      <rPr>
        <sz val="11"/>
        <color theme="1"/>
        <rFont val="Noto Sans"/>
        <family val="0"/>
        <charset val="1"/>
      </rPr>
      <t xml:space="preserve">I-10 · </t>
    </r>
    <r>
      <rPr>
        <sz val="11"/>
        <color theme="1"/>
        <rFont val="Noto Sans CJK SC"/>
        <family val="2"/>
      </rPr>
      <t xml:space="preserve">사유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벌점 로직</t>
    </r>
  </si>
  <si>
    <r>
      <rPr>
        <sz val="11"/>
        <color theme="1"/>
        <rFont val="Noto Sans CJK SC"/>
        <family val="2"/>
      </rPr>
      <t xml:space="preserve">성적 엑셀 양식 자체 제작 여부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내년 양식 변경 대응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유연 매핑</t>
    </r>
    <r>
      <rPr>
        <sz val="11"/>
        <color theme="1"/>
        <rFont val="Noto Sans"/>
        <family val="0"/>
        <charset val="1"/>
      </rPr>
      <t xml:space="preserve">), API/</t>
    </r>
    <r>
      <rPr>
        <sz val="11"/>
        <color theme="1"/>
        <rFont val="Noto Sans CJK SC"/>
        <family val="2"/>
      </rPr>
      <t xml:space="preserve">엑셀 경계</t>
    </r>
  </si>
  <si>
    <r>
      <rPr>
        <sz val="11"/>
        <color theme="1"/>
        <rFont val="Noto Sans"/>
        <family val="0"/>
        <charset val="1"/>
      </rPr>
      <t xml:space="preserve">I-11 · </t>
    </r>
    <r>
      <rPr>
        <sz val="11"/>
        <color theme="1"/>
        <rFont val="Noto Sans CJK SC"/>
        <family val="2"/>
      </rPr>
      <t xml:space="preserve">성적 모듈 착수 전</t>
    </r>
  </si>
  <si>
    <r>
      <rPr>
        <sz val="11"/>
        <color theme="1"/>
        <rFont val="Noto Sans CJK SC"/>
        <family val="2"/>
      </rPr>
      <t xml:space="preserve">학생 신청 항목별 승인 주체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학부모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선생님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자동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확정 — 사유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정기일정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방화벽 해제 포함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학부모 최대 </t>
    </r>
    <r>
      <rPr>
        <sz val="11"/>
        <color theme="1"/>
        <rFont val="Noto Sans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인 확정</t>
    </r>
  </si>
  <si>
    <r>
      <rPr>
        <sz val="11"/>
        <color theme="1"/>
        <rFont val="Noto Sans"/>
        <family val="0"/>
        <charset val="1"/>
      </rPr>
      <t xml:space="preserve">I-12 · </t>
    </r>
    <r>
      <rPr>
        <sz val="11"/>
        <color theme="1"/>
        <rFont val="Noto Sans CJK SC"/>
        <family val="2"/>
      </rPr>
      <t xml:space="preserve">승인 로직 설계 착수 블로커</t>
    </r>
  </si>
  <si>
    <r>
      <rPr>
        <sz val="11"/>
        <color theme="1"/>
        <rFont val="Noto Sans CJK SC"/>
        <family val="2"/>
      </rPr>
      <t xml:space="preserve">데스크 당일 급식 신청 결제 방식</t>
    </r>
    <r>
      <rPr>
        <sz val="11"/>
        <color theme="1"/>
        <rFont val="Noto Sans"/>
        <family val="0"/>
        <charset val="1"/>
      </rPr>
      <t xml:space="preserve">(PG</t>
    </r>
    <r>
      <rPr>
        <sz val="11"/>
        <color theme="1"/>
        <rFont val="Noto Sans CJK SC"/>
        <family val="2"/>
      </rPr>
      <t xml:space="preserve">카드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현금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취소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환불 처리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관리자 직접 등록 화면 필요 여부</t>
    </r>
  </si>
  <si>
    <r>
      <rPr>
        <sz val="11"/>
        <color theme="1"/>
        <rFont val="Noto Sans"/>
        <family val="0"/>
        <charset val="1"/>
      </rPr>
      <t xml:space="preserve">I-13 · </t>
    </r>
    <r>
      <rPr>
        <sz val="11"/>
        <color theme="1"/>
        <rFont val="Noto Sans CJK SC"/>
        <family val="2"/>
      </rPr>
      <t xml:space="preserve">급식 모듈 착수 전</t>
    </r>
  </si>
  <si>
    <r>
      <rPr>
        <sz val="11"/>
        <color theme="1"/>
        <rFont val="Noto Sans CJK SC"/>
        <family val="2"/>
      </rPr>
      <t xml:space="preserve">알림톡 심사 통과 여부에 따라 </t>
    </r>
    <r>
      <rPr>
        <sz val="11"/>
        <color theme="1"/>
        <rFont val="Noto Sans"/>
        <family val="0"/>
        <charset val="1"/>
      </rPr>
      <t xml:space="preserve">FCM </t>
    </r>
    <r>
      <rPr>
        <sz val="11"/>
        <color theme="1"/>
        <rFont val="Noto Sans CJK SC"/>
        <family val="2"/>
      </rPr>
      <t xml:space="preserve">단독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알림톡 병행 확정</t>
    </r>
  </si>
  <si>
    <r>
      <rPr>
        <sz val="11"/>
        <color theme="1"/>
        <rFont val="Noto Sans"/>
        <family val="0"/>
        <charset val="1"/>
      </rPr>
      <t xml:space="preserve">I-14 · </t>
    </r>
    <r>
      <rPr>
        <sz val="11"/>
        <color theme="1"/>
        <rFont val="Noto Sans CJK SC"/>
        <family val="2"/>
      </rPr>
      <t xml:space="preserve">알림 연동 시</t>
    </r>
  </si>
  <si>
    <t xml:space="preserve">마이그레이션</t>
  </si>
  <si>
    <r>
      <rPr>
        <sz val="11"/>
        <color theme="1"/>
        <rFont val="Noto Sans CJK SC"/>
        <family val="2"/>
      </rPr>
      <t xml:space="preserve">구글 시트 </t>
    </r>
    <r>
      <rPr>
        <sz val="11"/>
        <color theme="1"/>
        <rFont val="Noto Sans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상담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학생관리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실제 구조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컬럼 파악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이관 계획</t>
    </r>
  </si>
  <si>
    <r>
      <rPr>
        <sz val="11"/>
        <color theme="1"/>
        <rFont val="Noto Sans CJK SC"/>
        <family val="2"/>
      </rPr>
      <t xml:space="preserve">개발팀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운영팀</t>
    </r>
  </si>
  <si>
    <r>
      <rPr>
        <sz val="11"/>
        <color theme="1"/>
        <rFont val="Noto Sans"/>
        <family val="0"/>
        <charset val="1"/>
      </rPr>
      <t xml:space="preserve">I-15 · Phase 0 </t>
    </r>
    <r>
      <rPr>
        <sz val="11"/>
        <color theme="1"/>
        <rFont val="Noto Sans CJK SC"/>
        <family val="2"/>
      </rPr>
      <t xml:space="preserve">착수 항목</t>
    </r>
  </si>
  <si>
    <r>
      <rPr>
        <sz val="11"/>
        <color theme="1"/>
        <rFont val="Noto Sans CJK SC"/>
        <family val="2"/>
      </rPr>
      <t xml:space="preserve">내부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대성전산</t>
    </r>
  </si>
  <si>
    <r>
      <rPr>
        <sz val="11"/>
        <color theme="1"/>
        <rFont val="Noto Sans CJK SC"/>
        <family val="2"/>
      </rPr>
      <t xml:space="preserve">좌석 이탈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복귀 — 위치 구분값 마스터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좌석표 실시간 반영 방식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장시간 미복귀 임계값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키오스크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잔여 </t>
    </r>
    <r>
      <rPr>
        <sz val="11"/>
        <color theme="1"/>
        <rFont val="Noto Sans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대</t>
    </r>
    <r>
      <rPr>
        <sz val="11"/>
        <color theme="1"/>
        <rFont val="Noto Sans"/>
        <family val="0"/>
        <charset val="1"/>
      </rPr>
      <t xml:space="preserve">)+</t>
    </r>
    <r>
      <rPr>
        <sz val="11"/>
        <color theme="1"/>
        <rFont val="Noto Sans CJK SC"/>
        <family val="2"/>
      </rPr>
      <t xml:space="preserve">태블릿 배치 대수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위치</t>
    </r>
    <r>
      <rPr>
        <sz val="11"/>
        <color theme="1"/>
        <rFont val="Noto Sans"/>
        <family val="0"/>
        <charset val="1"/>
      </rPr>
      <t xml:space="preserve">. ▷[0803] </t>
    </r>
    <r>
      <rPr>
        <sz val="11"/>
        <color theme="1"/>
        <rFont val="Noto Sans CJK SC"/>
        <family val="2"/>
      </rPr>
      <t xml:space="preserve">앱 신청 경로 없음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조회 전용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확정</t>
    </r>
  </si>
  <si>
    <r>
      <rPr>
        <sz val="11"/>
        <color theme="1"/>
        <rFont val="Noto Sans CJK SC"/>
        <family val="2"/>
      </rPr>
      <t xml:space="preserve">운영팀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대성전산</t>
    </r>
  </si>
  <si>
    <r>
      <rPr>
        <sz val="11"/>
        <color theme="1"/>
        <rFont val="Noto Sans"/>
        <family val="0"/>
        <charset val="1"/>
      </rPr>
      <t xml:space="preserve">I-16 · </t>
    </r>
    <r>
      <rPr>
        <sz val="11"/>
        <color theme="1"/>
        <rFont val="Noto Sans CJK SC"/>
        <family val="2"/>
      </rPr>
      <t xml:space="preserve">좌석이탈</t>
    </r>
    <r>
      <rPr>
        <sz val="11"/>
        <color theme="1"/>
        <rFont val="Noto Sans"/>
        <family val="0"/>
        <charset val="1"/>
      </rPr>
      <t xml:space="preserve">(F-4.3-2), D-2 </t>
    </r>
    <r>
      <rPr>
        <sz val="11"/>
        <color theme="1"/>
        <rFont val="Noto Sans CJK SC"/>
        <family val="2"/>
      </rPr>
      <t xml:space="preserve">연계</t>
    </r>
  </si>
  <si>
    <r>
      <rPr>
        <sz val="11"/>
        <color theme="1"/>
        <rFont val="Noto Sans CJK SC"/>
        <family val="2"/>
      </rPr>
      <t xml:space="preserve">신상기록부 </t>
    </r>
    <r>
      <rPr>
        <sz val="11"/>
        <color theme="1"/>
        <rFont val="Noto Sans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종 양식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항목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학년별 폼 분기</t>
    </r>
    <r>
      <rPr>
        <sz val="11"/>
        <color theme="1"/>
        <rFont val="Noto Sans"/>
        <family val="0"/>
        <charset val="1"/>
      </rPr>
      <t xml:space="preserve">·PDF </t>
    </r>
    <r>
      <rPr>
        <sz val="11"/>
        <color theme="1"/>
        <rFont val="Noto Sans CJK SC"/>
        <family val="2"/>
      </rPr>
      <t xml:space="preserve">양식 확정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입학 필수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회원가입 강제 단계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</si>
  <si>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"/>
        <family val="0"/>
        <charset val="1"/>
      </rPr>
      <t xml:space="preserve">I-17 · </t>
    </r>
    <r>
      <rPr>
        <sz val="11"/>
        <color theme="1"/>
        <rFont val="Noto Sans CJK SC"/>
        <family val="2"/>
      </rPr>
      <t xml:space="preserve">온보딩 착수 전 필수</t>
    </r>
  </si>
  <si>
    <r>
      <rPr>
        <sz val="11"/>
        <color theme="1"/>
        <rFont val="Noto Sans CJK SC"/>
        <family val="2"/>
      </rPr>
      <t xml:space="preserve">급식 식사체크 방식 — 관리자용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키오스크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소형 패드</t>
    </r>
    <r>
      <rPr>
        <sz val="11"/>
        <color theme="1"/>
        <rFont val="Noto Sans"/>
        <family val="0"/>
        <charset val="1"/>
      </rPr>
      <t xml:space="preserve">), </t>
    </r>
    <r>
      <rPr>
        <sz val="11"/>
        <color theme="1"/>
        <rFont val="Noto Sans CJK SC"/>
        <family val="2"/>
      </rPr>
      <t xml:space="preserve">안면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지문 생체인식 채택 여부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채택 시 개인정보</t>
    </r>
    <r>
      <rPr>
        <sz val="11"/>
        <color theme="1"/>
        <rFont val="Noto Sans"/>
        <family val="0"/>
        <charset val="1"/>
      </rPr>
      <t xml:space="preserve">/ISMS </t>
    </r>
    <r>
      <rPr>
        <sz val="11"/>
        <color theme="1"/>
        <rFont val="Noto Sans CJK SC"/>
        <family val="2"/>
      </rPr>
      <t xml:space="preserve">검토 필수</t>
    </r>
    <r>
      <rPr>
        <sz val="11"/>
        <color theme="1"/>
        <rFont val="Noto Sans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</si>
  <si>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운영팀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개발팀</t>
    </r>
  </si>
  <si>
    <r>
      <rPr>
        <sz val="11"/>
        <color theme="1"/>
        <rFont val="Noto Sans"/>
        <family val="0"/>
        <charset val="1"/>
      </rPr>
      <t xml:space="preserve">I-18 · </t>
    </r>
    <r>
      <rPr>
        <sz val="11"/>
        <color theme="1"/>
        <rFont val="Noto Sans CJK SC"/>
        <family val="2"/>
      </rPr>
      <t xml:space="preserve">급식</t>
    </r>
    <r>
      <rPr>
        <sz val="11"/>
        <color theme="1"/>
        <rFont val="Noto Sans"/>
        <family val="0"/>
        <charset val="1"/>
      </rPr>
      <t xml:space="preserve">(F-4.5)</t>
    </r>
  </si>
  <si>
    <r>
      <rPr>
        <sz val="11"/>
        <color theme="1"/>
        <rFont val="Noto Sans CJK SC"/>
        <family val="2"/>
      </rPr>
      <t xml:space="preserve">학습계획 이행 표시 방식 — </t>
    </r>
    <r>
      <rPr>
        <sz val="11"/>
        <color theme="1"/>
        <rFont val="Noto Sans"/>
        <family val="0"/>
        <charset val="1"/>
      </rPr>
      <t xml:space="preserve">%+</t>
    </r>
    <r>
      <rPr>
        <sz val="11"/>
        <color theme="1"/>
        <rFont val="Noto Sans CJK SC"/>
        <family val="2"/>
      </rPr>
      <t xml:space="preserve">드래그 </t>
    </r>
    <r>
      <rPr>
        <sz val="11"/>
        <color theme="1"/>
        <rFont val="Noto Sans"/>
        <family val="0"/>
        <charset val="1"/>
      </rPr>
      <t xml:space="preserve">/ ○△</t>
    </r>
    <r>
      <rPr>
        <sz val="11"/>
        <color theme="1"/>
        <rFont val="Noto Sans CJK SC"/>
        <family val="2"/>
      </rPr>
      <t xml:space="preserve">빈칸 중 확정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상담 별점</t>
    </r>
    <r>
      <rPr>
        <sz val="11"/>
        <color theme="1"/>
        <rFont val="Noto Sans"/>
        <family val="0"/>
        <charset val="1"/>
      </rPr>
      <t xml:space="preserve">(1~5)</t>
    </r>
    <r>
      <rPr>
        <sz val="11"/>
        <color theme="1"/>
        <rFont val="Noto Sans CJK SC"/>
        <family val="2"/>
      </rPr>
      <t xml:space="preserve">과의 층위 정리</t>
    </r>
  </si>
  <si>
    <r>
      <rPr>
        <sz val="11"/>
        <color theme="1"/>
        <rFont val="Noto Sans"/>
        <family val="0"/>
        <charset val="1"/>
      </rPr>
      <t xml:space="preserve">I-19 · </t>
    </r>
    <r>
      <rPr>
        <sz val="11"/>
        <color theme="1"/>
        <rFont val="Noto Sans CJK SC"/>
        <family val="2"/>
      </rPr>
      <t xml:space="preserve">학습계획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상담</t>
    </r>
  </si>
  <si>
    <r>
      <rPr>
        <sz val="11"/>
        <color theme="1"/>
        <rFont val="Noto Sans CJK SC"/>
        <family val="2"/>
      </rPr>
      <t xml:space="preserve">승인 타임아웃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에스컬레이션 — 학부모 미응답 응답시간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입학 시 승인자 사전지정 가능 여부</t>
    </r>
  </si>
  <si>
    <r>
      <rPr>
        <sz val="11"/>
        <color theme="1"/>
        <rFont val="Noto Sans"/>
        <family val="0"/>
        <charset val="1"/>
      </rPr>
      <t xml:space="preserve">I-20 · </t>
    </r>
    <r>
      <rPr>
        <sz val="11"/>
        <color theme="1"/>
        <rFont val="Noto Sans CJK SC"/>
        <family val="2"/>
      </rPr>
      <t xml:space="preserve">승인</t>
    </r>
    <r>
      <rPr>
        <sz val="11"/>
        <color theme="1"/>
        <rFont val="Noto Sans"/>
        <family val="0"/>
        <charset val="1"/>
      </rPr>
      <t xml:space="preserve">(F-4.11-5)</t>
    </r>
  </si>
  <si>
    <r>
      <rPr>
        <sz val="11"/>
        <color theme="1"/>
        <rFont val="Noto Sans CJK SC"/>
        <family val="2"/>
      </rPr>
      <t xml:space="preserve">연간 행사 마스터 — 입력 주체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행사 유형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학습계획 반영 규칙</t>
    </r>
  </si>
  <si>
    <r>
      <rPr>
        <sz val="11"/>
        <color theme="1"/>
        <rFont val="Noto Sans"/>
        <family val="0"/>
        <charset val="1"/>
      </rPr>
      <t xml:space="preserve">I-21 · </t>
    </r>
    <r>
      <rPr>
        <sz val="11"/>
        <color theme="1"/>
        <rFont val="Noto Sans CJK SC"/>
        <family val="2"/>
      </rPr>
      <t xml:space="preserve">연간행사</t>
    </r>
    <r>
      <rPr>
        <sz val="11"/>
        <color theme="1"/>
        <rFont val="Noto Sans"/>
        <family val="0"/>
        <charset val="1"/>
      </rPr>
      <t xml:space="preserve">(F-4.11-9)</t>
    </r>
  </si>
  <si>
    <r>
      <rPr>
        <sz val="11"/>
        <color theme="1"/>
        <rFont val="Noto Sans CJK SC"/>
        <family val="2"/>
      </rPr>
      <t xml:space="preserve">계열 명칭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순서 표준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마스터</t>
    </r>
    <r>
      <rPr>
        <sz val="11"/>
        <color theme="1"/>
        <rFont val="Noto Sans"/>
        <family val="0"/>
        <charset val="1"/>
      </rPr>
      <t xml:space="preserve">) — </t>
    </r>
    <r>
      <rPr>
        <sz val="11"/>
        <color theme="1"/>
        <rFont val="Noto Sans CJK SC"/>
        <family val="2"/>
      </rPr>
      <t xml:space="preserve">메디컬 등 </t>
    </r>
    <r>
      <rPr>
        <sz val="11"/>
        <color theme="1"/>
        <rFont val="Noto Sans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분류</t>
    </r>
  </si>
  <si>
    <r>
      <rPr>
        <sz val="11"/>
        <color theme="1"/>
        <rFont val="Noto Sans"/>
        <family val="0"/>
        <charset val="1"/>
      </rPr>
      <t xml:space="preserve">I-22 · </t>
    </r>
    <r>
      <rPr>
        <sz val="11"/>
        <color theme="1"/>
        <rFont val="Noto Sans CJK SC"/>
        <family val="2"/>
      </rPr>
      <t xml:space="preserve">실적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신상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목표 공통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</si>
  <si>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진도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교재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인강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입력 주체 및 표시 방식 — 학습계획 관리에서 학생이 직접 표시하는 방향이나 </t>
    </r>
    <r>
      <rPr>
        <sz val="11"/>
        <color theme="1"/>
        <rFont val="Noto Sans"/>
        <family val="0"/>
        <charset val="1"/>
      </rPr>
      <t xml:space="preserve">% vs ○△✗ </t>
    </r>
    <r>
      <rPr>
        <sz val="11"/>
        <color theme="1"/>
        <rFont val="Noto Sans CJK SC"/>
        <family val="2"/>
      </rPr>
      <t xml:space="preserve">미정</t>
    </r>
    <r>
      <rPr>
        <sz val="11"/>
        <color theme="1"/>
        <rFont val="Noto Sans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확정 전까지 </t>
    </r>
    <r>
      <rPr>
        <sz val="11"/>
        <color theme="1"/>
        <rFont val="Noto Sans"/>
        <family val="0"/>
        <charset val="1"/>
      </rPr>
      <t xml:space="preserve">Daily Report </t>
    </r>
    <r>
      <rPr>
        <sz val="11"/>
        <color theme="1"/>
        <rFont val="Noto Sans CJK SC"/>
        <family val="2"/>
      </rPr>
      <t xml:space="preserve">진도 위젯은 자리만 확보</t>
    </r>
  </si>
  <si>
    <r>
      <rPr>
        <sz val="11"/>
        <color theme="1"/>
        <rFont val="Noto Sans"/>
        <family val="0"/>
        <charset val="1"/>
      </rPr>
      <t xml:space="preserve">I-23 · </t>
    </r>
    <r>
      <rPr>
        <sz val="11"/>
        <color theme="1"/>
        <rFont val="Noto Sans CJK SC"/>
        <family val="2"/>
      </rPr>
      <t xml:space="preserve">학습계획</t>
    </r>
    <r>
      <rPr>
        <sz val="11"/>
        <color theme="1"/>
        <rFont val="Noto Sans"/>
        <family val="0"/>
        <charset val="1"/>
      </rPr>
      <t xml:space="preserve">(F-4.11-2)·Daily Report(F-4.11-6)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</si>
  <si>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앱 온보딩 </t>
    </r>
    <r>
      <rPr>
        <sz val="11"/>
        <color theme="1"/>
        <rFont val="Noto Sans"/>
        <family val="0"/>
        <charset val="1"/>
      </rPr>
      <t xml:space="preserve">OT(</t>
    </r>
    <r>
      <rPr>
        <sz val="11"/>
        <color theme="1"/>
        <rFont val="Noto Sans CJK SC"/>
        <family val="2"/>
      </rPr>
      <t xml:space="preserve">대면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게이트 범위 — </t>
    </r>
    <r>
      <rPr>
        <sz val="11"/>
        <color theme="1"/>
        <rFont val="Noto Sans"/>
        <family val="0"/>
        <charset val="1"/>
      </rPr>
      <t xml:space="preserve">OT </t>
    </r>
    <r>
      <rPr>
        <sz val="11"/>
        <color theme="1"/>
        <rFont val="Noto Sans CJK SC"/>
        <family val="2"/>
      </rPr>
      <t xml:space="preserve">완료 전 허용 기능 범위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상태별 화면 제한 정책</t>
    </r>
  </si>
  <si>
    <r>
      <rPr>
        <sz val="11"/>
        <color theme="1"/>
        <rFont val="Noto Sans"/>
        <family val="0"/>
        <charset val="1"/>
      </rPr>
      <t xml:space="preserve">I-24 · </t>
    </r>
    <r>
      <rPr>
        <sz val="11"/>
        <color theme="1"/>
        <rFont val="Noto Sans CJK SC"/>
        <family val="2"/>
      </rPr>
      <t xml:space="preserve">앱 온보딩</t>
    </r>
    <r>
      <rPr>
        <sz val="11"/>
        <color theme="1"/>
        <rFont val="Noto Sans"/>
        <family val="0"/>
        <charset val="1"/>
      </rPr>
      <t xml:space="preserve">(A-2) </t>
    </r>
    <r>
      <rPr>
        <sz val="11"/>
        <color theme="1"/>
        <rFont val="Noto Sans CJK SC"/>
        <family val="2"/>
      </rPr>
      <t xml:space="preserve">착수 전</t>
    </r>
  </si>
  <si>
    <r>
      <rPr>
        <sz val="11"/>
        <color theme="1"/>
        <rFont val="Noto Sans"/>
        <family val="0"/>
        <charset val="1"/>
      </rPr>
      <t xml:space="preserve">▷[0803] Firebase(FCM) </t>
    </r>
    <r>
      <rPr>
        <sz val="11"/>
        <color theme="1"/>
        <rFont val="Noto Sans CJK SC"/>
        <family val="2"/>
      </rPr>
      <t xml:space="preserve">프로젝트 생성 및 </t>
    </r>
    <r>
      <rPr>
        <sz val="11"/>
        <color theme="1"/>
        <rFont val="Noto Sans"/>
        <family val="0"/>
        <charset val="1"/>
      </rPr>
      <t xml:space="preserve">iOS APNs </t>
    </r>
    <r>
      <rPr>
        <sz val="11"/>
        <color theme="1"/>
        <rFont val="Noto Sans CJK SC"/>
        <family val="2"/>
      </rPr>
      <t xml:space="preserve">인증키</t>
    </r>
    <r>
      <rPr>
        <sz val="11"/>
        <color theme="1"/>
        <rFont val="Noto Sans"/>
        <family val="0"/>
        <charset val="1"/>
      </rPr>
      <t xml:space="preserve">(.p8) </t>
    </r>
    <r>
      <rPr>
        <sz val="11"/>
        <color theme="1"/>
        <rFont val="Noto Sans CJK SC"/>
        <family val="2"/>
      </rPr>
      <t xml:space="preserve">발급 — </t>
    </r>
    <r>
      <rPr>
        <sz val="11"/>
        <color theme="1"/>
        <rFont val="Noto Sans"/>
        <family val="0"/>
        <charset val="1"/>
      </rPr>
      <t xml:space="preserve">dev/stg/prod 3</t>
    </r>
    <r>
      <rPr>
        <sz val="11"/>
        <color theme="1"/>
        <rFont val="Noto Sans CJK SC"/>
        <family val="2"/>
      </rPr>
      <t xml:space="preserve">환경 분리</t>
    </r>
  </si>
  <si>
    <t xml:space="preserve">개발팀</t>
  </si>
  <si>
    <r>
      <rPr>
        <sz val="11"/>
        <color theme="1"/>
        <rFont val="Noto Sans"/>
        <family val="0"/>
        <charset val="1"/>
      </rPr>
      <t xml:space="preserve">E-7 · </t>
    </r>
    <r>
      <rPr>
        <sz val="11"/>
        <color theme="1"/>
        <rFont val="Noto Sans CJK SC"/>
        <family val="2"/>
      </rPr>
      <t xml:space="preserve">앱 푸시</t>
    </r>
    <r>
      <rPr>
        <sz val="11"/>
        <color theme="1"/>
        <rFont val="Noto Sans"/>
        <family val="0"/>
        <charset val="1"/>
      </rPr>
      <t xml:space="preserve">(Phase 0) </t>
    </r>
    <r>
      <rPr>
        <sz val="11"/>
        <color theme="1"/>
        <rFont val="Noto Sans CJK SC"/>
        <family val="2"/>
      </rPr>
      <t xml:space="preserve">착수 블로커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</si>
  <si>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현금영수증 발급 채널</t>
    </r>
    <r>
      <rPr>
        <sz val="11"/>
        <color theme="1"/>
        <rFont val="Noto Sans"/>
        <family val="0"/>
        <charset val="1"/>
      </rPr>
      <t xml:space="preserve">(PG </t>
    </r>
    <r>
      <rPr>
        <sz val="11"/>
        <color theme="1"/>
        <rFont val="Noto Sans CJK SC"/>
        <family val="2"/>
      </rPr>
      <t xml:space="preserve">대행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국세청 직접 연동</t>
    </r>
    <r>
      <rPr>
        <sz val="11"/>
        <color theme="1"/>
        <rFont val="Noto Sans"/>
        <family val="0"/>
        <charset val="1"/>
      </rPr>
      <t xml:space="preserve">)·</t>
    </r>
    <r>
      <rPr>
        <sz val="11"/>
        <color theme="1"/>
        <rFont val="Noto Sans CJK SC"/>
        <family val="2"/>
      </rPr>
      <t xml:space="preserve">발급 범위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교육비 납입증명서 양식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발급 시점</t>
    </r>
  </si>
  <si>
    <r>
      <rPr>
        <sz val="11"/>
        <color theme="1"/>
        <rFont val="Noto Sans CJK SC"/>
        <family val="2"/>
      </rPr>
      <t xml:space="preserve">운영팀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행정</t>
    </r>
  </si>
  <si>
    <r>
      <rPr>
        <sz val="11"/>
        <color theme="1"/>
        <rFont val="Noto Sans"/>
        <family val="0"/>
        <charset val="1"/>
      </rPr>
      <t xml:space="preserve">I-25 · </t>
    </r>
    <r>
      <rPr>
        <sz val="11"/>
        <color theme="1"/>
        <rFont val="Noto Sans CJK SC"/>
        <family val="2"/>
      </rPr>
      <t xml:space="preserve">수납</t>
    </r>
    <r>
      <rPr>
        <sz val="11"/>
        <color theme="1"/>
        <rFont val="Noto Sans"/>
        <family val="0"/>
        <charset val="1"/>
      </rPr>
      <t xml:space="preserve">(F-4.8-3)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</si>
  <si>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학원비 환불 반환기준 산식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학원법 일할계산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확정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시스템 자동 산출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담당자 수기 조정 범위</t>
    </r>
  </si>
  <si>
    <r>
      <rPr>
        <sz val="11"/>
        <color theme="1"/>
        <rFont val="Noto Sans"/>
        <family val="0"/>
        <charset val="1"/>
      </rPr>
      <t xml:space="preserve">I-26 · </t>
    </r>
    <r>
      <rPr>
        <sz val="11"/>
        <color theme="1"/>
        <rFont val="Noto Sans CJK SC"/>
        <family val="2"/>
      </rPr>
      <t xml:space="preserve">환불</t>
    </r>
    <r>
      <rPr>
        <sz val="11"/>
        <color theme="1"/>
        <rFont val="Noto Sans"/>
        <family val="0"/>
        <charset val="1"/>
      </rPr>
      <t xml:space="preserve">(F-4.8-2) </t>
    </r>
    <r>
      <rPr>
        <sz val="11"/>
        <color theme="1"/>
        <rFont val="Noto Sans CJK SC"/>
        <family val="2"/>
      </rPr>
      <t xml:space="preserve">착수 전</t>
    </r>
  </si>
  <si>
    <r>
      <rPr>
        <sz val="11"/>
        <color theme="1"/>
        <rFont val="Noto Sans"/>
        <family val="0"/>
        <charset val="1"/>
      </rPr>
      <t xml:space="preserve">▷[0803] </t>
    </r>
    <r>
      <rPr>
        <sz val="11"/>
        <color theme="1"/>
        <rFont val="Noto Sans CJK SC"/>
        <family val="2"/>
      </rPr>
      <t xml:space="preserve">정기일정 — 관리자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담임</t>
    </r>
    <r>
      <rPr>
        <sz val="11"/>
        <color theme="1"/>
        <rFont val="Noto Sans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등록분과 학생 앱 등록분의 병합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중복 처리 규칙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관리자 등록분 자동승인 여부</t>
    </r>
  </si>
  <si>
    <r>
      <rPr>
        <sz val="11"/>
        <color theme="1"/>
        <rFont val="Noto Sans"/>
        <family val="0"/>
        <charset val="1"/>
      </rPr>
      <t xml:space="preserve">I-27 · </t>
    </r>
    <r>
      <rPr>
        <sz val="11"/>
        <color theme="1"/>
        <rFont val="Noto Sans CJK SC"/>
        <family val="2"/>
      </rPr>
      <t xml:space="preserve">정기일정</t>
    </r>
    <r>
      <rPr>
        <sz val="11"/>
        <color theme="1"/>
        <rFont val="Noto Sans"/>
        <family val="0"/>
        <charset val="1"/>
      </rPr>
      <t xml:space="preserve">(F-4.1-7)</t>
    </r>
  </si>
  <si>
    <r>
      <rPr>
        <sz val="11"/>
        <color theme="1"/>
        <rFont val="Noto Sans CJK SC"/>
        <family val="2"/>
      </rPr>
      <t xml:space="preserve">교무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운영</t>
    </r>
  </si>
  <si>
    <r>
      <rPr>
        <sz val="11"/>
        <color theme="1"/>
        <rFont val="Noto Sans CJK SC"/>
        <family val="2"/>
      </rPr>
      <t xml:space="preserve">시간표 관리 필요 범위 — 반별 수업 시간표 편성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출력이 실제 필요한지</t>
    </r>
    <r>
      <rPr>
        <sz val="11"/>
        <color theme="1"/>
        <rFont val="Noto Sans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이동수업 배정만으로 충분한지 확정</t>
    </r>
  </si>
  <si>
    <r>
      <rPr>
        <sz val="11"/>
        <color theme="1"/>
        <rFont val="Noto Sans CJK SC"/>
        <family val="2"/>
      </rPr>
      <t xml:space="preserve">회신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시간표</t>
    </r>
    <r>
      <rPr>
        <sz val="11"/>
        <color theme="1"/>
        <rFont val="Noto Sans"/>
        <family val="0"/>
        <charset val="1"/>
      </rPr>
      <t xml:space="preserve">,</t>
    </r>
    <r>
      <rPr>
        <sz val="11"/>
        <color theme="1"/>
        <rFont val="Noto Sans CJK SC"/>
        <family val="2"/>
      </rPr>
      <t xml:space="preserve">이동수업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사용 → </t>
    </r>
    <r>
      <rPr>
        <sz val="11"/>
        <color theme="1"/>
        <rFont val="Noto Sans"/>
        <family val="0"/>
        <charset val="1"/>
      </rPr>
      <t xml:space="preserve">F-4.9-2</t>
    </r>
  </si>
  <si>
    <r>
      <rPr>
        <sz val="11"/>
        <color theme="1"/>
        <rFont val="Noto Sans CJK SC"/>
        <family val="2"/>
      </rPr>
      <t xml:space="preserve">관리자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공통</t>
    </r>
  </si>
  <si>
    <r>
      <rPr>
        <sz val="11"/>
        <color theme="1"/>
        <rFont val="Noto Sans CJK SC"/>
        <family val="2"/>
      </rPr>
      <t xml:space="preserve">금일 수정 이력 실현 방식 — 전용 화면 신설 </t>
    </r>
    <r>
      <rPr>
        <sz val="11"/>
        <color theme="1"/>
        <rFont val="Noto Sans"/>
        <family val="0"/>
        <charset val="1"/>
      </rPr>
      <t xml:space="preserve">vs </t>
    </r>
    <r>
      <rPr>
        <sz val="11"/>
        <color theme="1"/>
        <rFont val="Noto Sans CJK SC"/>
        <family val="2"/>
      </rPr>
      <t xml:space="preserve">공통 감사로그 뷰어로 흡수</t>
    </r>
  </si>
  <si>
    <r>
      <rPr>
        <sz val="11"/>
        <color theme="1"/>
        <rFont val="Noto Sans CJK SC"/>
        <family val="2"/>
      </rPr>
      <t xml:space="preserve">회신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금일 수정 이력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사용 → </t>
    </r>
    <r>
      <rPr>
        <sz val="11"/>
        <color theme="1"/>
        <rFont val="Noto Sans"/>
        <family val="0"/>
        <charset val="1"/>
      </rPr>
      <t xml:space="preserve">F-4.10-8</t>
    </r>
  </si>
  <si>
    <t xml:space="preserve">기초관리</t>
  </si>
  <si>
    <r>
      <rPr>
        <sz val="11"/>
        <color theme="1"/>
        <rFont val="Noto Sans CJK SC"/>
        <family val="2"/>
      </rPr>
      <t xml:space="preserve">학과계열 마스터가 기초 관리</t>
    </r>
    <r>
      <rPr>
        <sz val="11"/>
        <color theme="1"/>
        <rFont val="Noto Sans"/>
        <family val="0"/>
        <charset val="1"/>
      </rPr>
      <t xml:space="preserve">(F-4.10-1) </t>
    </r>
    <r>
      <rPr>
        <sz val="11"/>
        <color theme="1"/>
        <rFont val="Noto Sans CJK SC"/>
        <family val="2"/>
      </rPr>
      <t xml:space="preserve">범위에 포함되는지</t>
    </r>
    <r>
      <rPr>
        <sz val="11"/>
        <color theme="1"/>
        <rFont val="Noto Sans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계열 </t>
    </r>
    <r>
      <rPr>
        <sz val="11"/>
        <color theme="1"/>
        <rFont val="Noto Sans"/>
        <family val="0"/>
        <charset val="1"/>
      </rPr>
      <t xml:space="preserve">CRUD)</t>
    </r>
  </si>
  <si>
    <r>
      <rPr>
        <sz val="11"/>
        <color theme="1"/>
        <rFont val="Noto Sans CJK SC"/>
        <family val="2"/>
      </rPr>
      <t xml:space="preserve">회신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학과계열 관리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사용</t>
    </r>
  </si>
  <si>
    <t xml:space="preserve">학생관리</t>
  </si>
  <si>
    <r>
      <rPr>
        <sz val="11"/>
        <color theme="1"/>
        <rFont val="Noto Sans CJK SC"/>
        <family val="2"/>
      </rPr>
      <t xml:space="preserve">학원생 현황이 </t>
    </r>
    <r>
      <rPr>
        <sz val="11"/>
        <color theme="1"/>
        <rFont val="Noto Sans"/>
        <family val="0"/>
        <charset val="1"/>
      </rPr>
      <t xml:space="preserve">F-4.1-1(</t>
    </r>
    <r>
      <rPr>
        <sz val="11"/>
        <color theme="1"/>
        <rFont val="Noto Sans CJK SC"/>
        <family val="2"/>
      </rPr>
      <t xml:space="preserve">검색</t>
    </r>
    <r>
      <rPr>
        <sz val="11"/>
        <color theme="1"/>
        <rFont val="Noto Sans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조회</t>
    </r>
    <r>
      <rPr>
        <sz val="11"/>
        <color theme="1"/>
        <rFont val="Noto Sans"/>
        <family val="0"/>
        <charset val="1"/>
      </rPr>
      <t xml:space="preserve">)/F-4.1-8(</t>
    </r>
    <r>
      <rPr>
        <sz val="11"/>
        <color theme="1"/>
        <rFont val="Noto Sans CJK SC"/>
        <family val="2"/>
      </rPr>
      <t xml:space="preserve">상태관리</t>
    </r>
    <r>
      <rPr>
        <sz val="11"/>
        <color theme="1"/>
        <rFont val="Noto Sans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로 충분히 커버되는지</t>
    </r>
  </si>
  <si>
    <r>
      <rPr>
        <sz val="11"/>
        <color theme="1"/>
        <rFont val="Noto Sans CJK SC"/>
        <family val="2"/>
      </rPr>
      <t xml:space="preserve">회신 </t>
    </r>
    <r>
      <rPr>
        <sz val="11"/>
        <color theme="1"/>
        <rFont val="Noto Sans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학원생 현황</t>
    </r>
    <r>
      <rPr>
        <sz val="11"/>
        <color theme="1"/>
        <rFont val="Noto Sans"/>
        <family val="0"/>
        <charset val="1"/>
      </rPr>
      <t xml:space="preserve">' </t>
    </r>
    <r>
      <rPr>
        <sz val="11"/>
        <color theme="1"/>
        <rFont val="Noto Sans CJK SC"/>
        <family val="2"/>
      </rPr>
      <t xml:space="preserve">사용</t>
    </r>
  </si>
  <si>
    <t xml:space="preserve">■ 상태별 집계</t>
  </si>
  <si>
    <r>
      <rPr>
        <sz val="11"/>
        <color theme="1"/>
        <rFont val="Noto Sans CJK SC"/>
        <family val="2"/>
      </rPr>
      <t xml:space="preserve">해소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보류</t>
    </r>
    <r>
      <rPr>
        <sz val="11"/>
        <color theme="1"/>
        <rFont val="Noto Sans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부분해소 </t>
    </r>
    <r>
      <rPr>
        <sz val="11"/>
        <color theme="1"/>
        <rFont val="Noto Sans"/>
        <family val="0"/>
        <charset val="1"/>
      </rPr>
      <t xml:space="preserve">(0803)</t>
    </r>
  </si>
  <si>
    <t xml:space="preserve">미해결 소계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</si>
</sst>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mbria"/>
      <family val="0"/>
      <charset val="1"/>
    </font>
    <font>
      <b val="true"/>
      <sz val="13"/>
      <color theme="1"/>
      <name val="Noto Sans CJK SC"/>
      <family val="2"/>
    </font>
    <font>
      <sz val="11"/>
      <color rgb="FF555555"/>
      <name val="Noto Sans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Noto Sans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theme="1"/>
      <name val="Noto Sans CJK SC"/>
      <family val="2"/>
    </font>
    <font>
      <sz val="11"/>
      <color theme="1"/>
      <name val="Noto Sans CJK SC"/>
      <family val="2"/>
    </font>
    <font>
      <sz val="11"/>
      <color theme="1"/>
      <name val="Noto Sans"/>
      <family val="0"/>
      <charset val="1"/>
    </font>
    <font>
      <i val="true"/>
      <sz val="11"/>
      <color rgb="FF555555"/>
      <name val="Noto Sans CJK SC"/>
      <family val="2"/>
    </font>
    <font>
      <i val="true"/>
      <sz val="11"/>
      <color rgb="FF555555"/>
      <name val="Noto Sans"/>
      <family val="0"/>
      <charset val="1"/>
    </font>
    <font>
      <sz val="11"/>
      <color rgb="FF555555"/>
      <name val="Cambria"/>
      <family val="0"/>
      <charset val="1"/>
    </font>
    <font>
      <sz val="11"/>
      <color rgb="FF555555"/>
      <name val="Noto Sans CJK SC"/>
      <family val="2"/>
    </font>
    <font>
      <b val="true"/>
      <sz val="13"/>
      <color rgb="FF1F4E78"/>
      <name val="Noto Sans CJK SC"/>
      <family val="2"/>
    </font>
    <font>
      <b val="true"/>
      <sz val="13"/>
      <color rgb="FF1F4E78"/>
      <name val="Noto Sans"/>
      <family val="0"/>
      <charset val="1"/>
    </font>
    <font>
      <b val="true"/>
      <sz val="11"/>
      <color rgb="FF1F4E78"/>
      <name val="Noto Sans CJK SC"/>
      <family val="2"/>
    </font>
    <font>
      <b val="true"/>
      <sz val="11"/>
      <color rgb="FF1F4E78"/>
      <name val="Noto Sans"/>
      <family val="0"/>
      <charset val="1"/>
    </font>
    <font>
      <b val="true"/>
      <sz val="11"/>
      <color theme="1"/>
      <name val="Noto San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AF9F9"/>
      </patternFill>
    </fill>
    <fill>
      <patternFill patternType="solid">
        <fgColor rgb="FFDDEBF7"/>
        <bgColor rgb="FFF2F2F2"/>
      </patternFill>
    </fill>
    <fill>
      <patternFill patternType="solid">
        <fgColor rgb="FFFAF9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BBBB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AF9F9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4" min="4" style="0" width="32.29"/>
    <col collapsed="false" customWidth="true" hidden="false" outlineLevel="0" max="5" min="5" style="0" width="25.43"/>
  </cols>
  <sheetData>
    <row r="1" customFormat="false" ht="20.1" hidden="false" customHeight="fals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2.8" hidden="false" customHeight="false" outlineLevel="0" collapsed="false">
      <c r="A4" s="4" t="s">
        <v>1</v>
      </c>
      <c r="B4" s="4" t="s">
        <v>2</v>
      </c>
      <c r="C4" s="4" t="s">
        <v>3</v>
      </c>
      <c r="D4" s="5" t="s">
        <v>4</v>
      </c>
      <c r="E4" s="4" t="s">
        <v>5</v>
      </c>
      <c r="F4" s="4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2.8" hidden="false" customHeight="false" outlineLevel="0" collapsed="false">
      <c r="A5" s="6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8" t="s">
        <v>12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32.8" hidden="false" customHeight="false" outlineLevel="0" collapsed="false">
      <c r="A6" s="6" t="s">
        <v>7</v>
      </c>
      <c r="B6" s="7" t="s">
        <v>13</v>
      </c>
      <c r="C6" s="7" t="s">
        <v>9</v>
      </c>
      <c r="D6" s="7" t="s">
        <v>14</v>
      </c>
      <c r="E6" s="7" t="s">
        <v>15</v>
      </c>
      <c r="F6" s="8" t="s">
        <v>16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2.8" hidden="false" customHeight="false" outlineLevel="0" collapsed="false">
      <c r="A7" s="9" t="s">
        <v>17</v>
      </c>
      <c r="B7" s="10" t="s">
        <v>18</v>
      </c>
      <c r="C7" s="10" t="s">
        <v>9</v>
      </c>
      <c r="D7" s="11" t="s">
        <v>19</v>
      </c>
      <c r="E7" s="10" t="s">
        <v>20</v>
      </c>
      <c r="F7" s="11" t="s">
        <v>21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2.8" hidden="false" customHeight="false" outlineLevel="0" collapsed="false">
      <c r="A8" s="9" t="s">
        <v>17</v>
      </c>
      <c r="B8" s="10" t="s">
        <v>22</v>
      </c>
      <c r="C8" s="10" t="s">
        <v>9</v>
      </c>
      <c r="D8" s="10" t="s">
        <v>23</v>
      </c>
      <c r="E8" s="11" t="s">
        <v>24</v>
      </c>
      <c r="F8" s="11" t="s">
        <v>25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7.15" hidden="false" customHeight="false" outlineLevel="0" collapsed="false">
      <c r="A10" s="12" t="s">
        <v>26</v>
      </c>
      <c r="B10" s="12"/>
      <c r="C10" s="12"/>
      <c r="D10" s="12"/>
      <c r="E10" s="12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2.8" hidden="false" customHeight="true" outlineLevel="0" collapsed="false">
      <c r="A11" s="13" t="s">
        <v>27</v>
      </c>
      <c r="B11" s="13"/>
      <c r="C11" s="13"/>
      <c r="D11" s="13"/>
      <c r="E11" s="13"/>
      <c r="F11" s="1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F1"/>
    <mergeCell ref="A2:F2"/>
    <mergeCell ref="A10:F10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42"/>
    <col collapsed="false" customWidth="true" hidden="false" outlineLevel="0" max="26" min="11" style="0" width="8.71"/>
  </cols>
  <sheetData>
    <row r="1" customFormat="false" ht="25.5" hidden="false" customHeight="true" outlineLevel="0" collapsed="false">
      <c r="A1" s="14" t="s">
        <v>28</v>
      </c>
      <c r="B1" s="15" t="s">
        <v>29</v>
      </c>
      <c r="C1" s="15" t="s">
        <v>30</v>
      </c>
      <c r="D1" s="15" t="s">
        <v>31</v>
      </c>
      <c r="E1" s="15" t="s">
        <v>1</v>
      </c>
      <c r="F1" s="15" t="s">
        <v>32</v>
      </c>
      <c r="G1" s="15" t="s">
        <v>33</v>
      </c>
      <c r="H1" s="15" t="s">
        <v>34</v>
      </c>
      <c r="I1" s="15" t="s">
        <v>35</v>
      </c>
      <c r="J1" s="14" t="s">
        <v>36</v>
      </c>
      <c r="K1" s="15" t="s">
        <v>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94.5" hidden="false" customHeight="true" outlineLevel="0" collapsed="false">
      <c r="A2" s="16" t="n">
        <v>1</v>
      </c>
      <c r="B2" s="17" t="s">
        <v>38</v>
      </c>
      <c r="C2" s="17" t="s">
        <v>39</v>
      </c>
      <c r="D2" s="18" t="s">
        <v>40</v>
      </c>
      <c r="E2" s="18" t="s">
        <v>41</v>
      </c>
      <c r="F2" s="18" t="s">
        <v>42</v>
      </c>
      <c r="G2" s="17" t="s">
        <v>43</v>
      </c>
      <c r="H2" s="17" t="s">
        <v>44</v>
      </c>
      <c r="I2" s="17" t="s">
        <v>45</v>
      </c>
      <c r="J2" s="17" t="s">
        <v>46</v>
      </c>
      <c r="K2" s="17" t="s">
        <v>45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94.5" hidden="false" customHeight="true" outlineLevel="0" collapsed="false">
      <c r="A3" s="19" t="n">
        <v>2</v>
      </c>
      <c r="B3" s="20" t="s">
        <v>47</v>
      </c>
      <c r="C3" s="20" t="s">
        <v>39</v>
      </c>
      <c r="D3" s="21" t="s">
        <v>48</v>
      </c>
      <c r="E3" s="21" t="s">
        <v>49</v>
      </c>
      <c r="F3" s="21" t="s">
        <v>50</v>
      </c>
      <c r="G3" s="20" t="s">
        <v>51</v>
      </c>
      <c r="H3" s="20" t="s">
        <v>44</v>
      </c>
      <c r="I3" s="21" t="s">
        <v>52</v>
      </c>
      <c r="J3" s="20" t="s">
        <v>53</v>
      </c>
      <c r="K3" s="20" t="s">
        <v>54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94.5" hidden="false" customHeight="true" outlineLevel="0" collapsed="false">
      <c r="A4" s="16" t="n">
        <v>3</v>
      </c>
      <c r="B4" s="17" t="s">
        <v>55</v>
      </c>
      <c r="C4" s="17" t="s">
        <v>39</v>
      </c>
      <c r="D4" s="18" t="s">
        <v>56</v>
      </c>
      <c r="E4" s="18" t="s">
        <v>57</v>
      </c>
      <c r="F4" s="18" t="s">
        <v>58</v>
      </c>
      <c r="G4" s="17" t="s">
        <v>59</v>
      </c>
      <c r="H4" s="17" t="s">
        <v>60</v>
      </c>
      <c r="I4" s="17" t="s">
        <v>61</v>
      </c>
      <c r="J4" s="17" t="s">
        <v>62</v>
      </c>
      <c r="K4" s="17" t="s">
        <v>63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4.5" hidden="false" customHeight="true" outlineLevel="0" collapsed="false">
      <c r="A5" s="16" t="n">
        <v>4</v>
      </c>
      <c r="B5" s="17" t="s">
        <v>64</v>
      </c>
      <c r="C5" s="17" t="s">
        <v>39</v>
      </c>
      <c r="D5" s="18" t="s">
        <v>65</v>
      </c>
      <c r="E5" s="18" t="s">
        <v>41</v>
      </c>
      <c r="F5" s="18" t="s">
        <v>66</v>
      </c>
      <c r="G5" s="17" t="s">
        <v>67</v>
      </c>
      <c r="H5" s="17" t="s">
        <v>44</v>
      </c>
      <c r="I5" s="17" t="s">
        <v>45</v>
      </c>
      <c r="J5" s="17" t="s">
        <v>68</v>
      </c>
      <c r="K5" s="17" t="s">
        <v>45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94.5" hidden="false" customHeight="true" outlineLevel="0" collapsed="false">
      <c r="A6" s="16" t="n">
        <v>5</v>
      </c>
      <c r="B6" s="17" t="s">
        <v>69</v>
      </c>
      <c r="C6" s="17" t="s">
        <v>39</v>
      </c>
      <c r="D6" s="18" t="s">
        <v>70</v>
      </c>
      <c r="E6" s="18" t="s">
        <v>41</v>
      </c>
      <c r="F6" s="18" t="s">
        <v>71</v>
      </c>
      <c r="G6" s="17" t="s">
        <v>72</v>
      </c>
      <c r="H6" s="17" t="s">
        <v>73</v>
      </c>
      <c r="I6" s="17" t="s">
        <v>45</v>
      </c>
      <c r="J6" s="17" t="s">
        <v>74</v>
      </c>
      <c r="K6" s="17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94.5" hidden="false" customHeight="true" outlineLevel="0" collapsed="false">
      <c r="A7" s="16" t="n">
        <v>6</v>
      </c>
      <c r="B7" s="17" t="s">
        <v>75</v>
      </c>
      <c r="C7" s="17" t="s">
        <v>39</v>
      </c>
      <c r="D7" s="18" t="s">
        <v>76</v>
      </c>
      <c r="E7" s="18" t="s">
        <v>57</v>
      </c>
      <c r="F7" s="18" t="s">
        <v>77</v>
      </c>
      <c r="G7" s="18" t="s">
        <v>78</v>
      </c>
      <c r="H7" s="17" t="s">
        <v>79</v>
      </c>
      <c r="I7" s="17" t="s">
        <v>80</v>
      </c>
      <c r="J7" s="17" t="s">
        <v>81</v>
      </c>
      <c r="K7" s="17" t="s">
        <v>82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94.5" hidden="false" customHeight="true" outlineLevel="0" collapsed="false">
      <c r="A8" s="19" t="n">
        <v>7</v>
      </c>
      <c r="B8" s="20" t="s">
        <v>83</v>
      </c>
      <c r="C8" s="20" t="s">
        <v>39</v>
      </c>
      <c r="D8" s="21" t="s">
        <v>84</v>
      </c>
      <c r="E8" s="21" t="s">
        <v>49</v>
      </c>
      <c r="F8" s="21" t="s">
        <v>85</v>
      </c>
      <c r="G8" s="20" t="s">
        <v>86</v>
      </c>
      <c r="H8" s="20" t="s">
        <v>87</v>
      </c>
      <c r="I8" s="20" t="s">
        <v>88</v>
      </c>
      <c r="J8" s="20" t="s">
        <v>89</v>
      </c>
      <c r="K8" s="20" t="s">
        <v>90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94.5" hidden="false" customHeight="true" outlineLevel="0" collapsed="false">
      <c r="A9" s="19" t="n">
        <v>8</v>
      </c>
      <c r="B9" s="20" t="s">
        <v>91</v>
      </c>
      <c r="C9" s="20" t="s">
        <v>39</v>
      </c>
      <c r="D9" s="21" t="s">
        <v>92</v>
      </c>
      <c r="E9" s="21" t="s">
        <v>49</v>
      </c>
      <c r="F9" s="21" t="s">
        <v>93</v>
      </c>
      <c r="G9" s="20" t="s">
        <v>94</v>
      </c>
      <c r="H9" s="20" t="s">
        <v>95</v>
      </c>
      <c r="I9" s="20" t="s">
        <v>96</v>
      </c>
      <c r="J9" s="20" t="s">
        <v>97</v>
      </c>
      <c r="K9" s="20" t="s">
        <v>45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94.5" hidden="false" customHeight="true" outlineLevel="0" collapsed="false">
      <c r="A10" s="16" t="n">
        <v>9</v>
      </c>
      <c r="B10" s="17" t="s">
        <v>98</v>
      </c>
      <c r="C10" s="17" t="s">
        <v>99</v>
      </c>
      <c r="D10" s="18" t="s">
        <v>100</v>
      </c>
      <c r="E10" s="18" t="s">
        <v>49</v>
      </c>
      <c r="F10" s="17" t="s">
        <v>101</v>
      </c>
      <c r="G10" s="17" t="s">
        <v>102</v>
      </c>
      <c r="H10" s="17" t="s">
        <v>103</v>
      </c>
      <c r="I10" s="17" t="s">
        <v>104</v>
      </c>
      <c r="J10" s="17" t="s">
        <v>105</v>
      </c>
      <c r="K10" s="17" t="s">
        <v>106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94.5" hidden="false" customHeight="true" outlineLevel="0" collapsed="false">
      <c r="A11" s="19" t="n">
        <v>10</v>
      </c>
      <c r="B11" s="20" t="s">
        <v>107</v>
      </c>
      <c r="C11" s="20" t="s">
        <v>99</v>
      </c>
      <c r="D11" s="21" t="s">
        <v>108</v>
      </c>
      <c r="E11" s="21" t="s">
        <v>49</v>
      </c>
      <c r="F11" s="20" t="s">
        <v>109</v>
      </c>
      <c r="G11" s="20" t="s">
        <v>110</v>
      </c>
      <c r="H11" s="20" t="s">
        <v>111</v>
      </c>
      <c r="I11" s="20" t="s">
        <v>112</v>
      </c>
      <c r="J11" s="20" t="s">
        <v>113</v>
      </c>
      <c r="K11" s="20" t="s">
        <v>114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94.5" hidden="false" customHeight="true" outlineLevel="0" collapsed="false">
      <c r="A12" s="16" t="n">
        <v>11</v>
      </c>
      <c r="B12" s="17" t="s">
        <v>115</v>
      </c>
      <c r="C12" s="17" t="s">
        <v>116</v>
      </c>
      <c r="D12" s="18" t="s">
        <v>117</v>
      </c>
      <c r="E12" s="18" t="s">
        <v>57</v>
      </c>
      <c r="F12" s="18" t="s">
        <v>118</v>
      </c>
      <c r="G12" s="17" t="s">
        <v>119</v>
      </c>
      <c r="H12" s="17" t="s">
        <v>120</v>
      </c>
      <c r="I12" s="18" t="s">
        <v>121</v>
      </c>
      <c r="J12" s="17" t="s">
        <v>122</v>
      </c>
      <c r="K12" s="17" t="s">
        <v>123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94.5" hidden="false" customHeight="true" outlineLevel="0" collapsed="false">
      <c r="A13" s="19" t="n">
        <v>12</v>
      </c>
      <c r="B13" s="20" t="s">
        <v>124</v>
      </c>
      <c r="C13" s="20" t="s">
        <v>116</v>
      </c>
      <c r="D13" s="21" t="s">
        <v>125</v>
      </c>
      <c r="E13" s="21" t="s">
        <v>49</v>
      </c>
      <c r="F13" s="20" t="s">
        <v>126</v>
      </c>
      <c r="G13" s="20" t="s">
        <v>127</v>
      </c>
      <c r="H13" s="20" t="s">
        <v>128</v>
      </c>
      <c r="I13" s="21" t="s">
        <v>129</v>
      </c>
      <c r="J13" s="20" t="s">
        <v>130</v>
      </c>
      <c r="K13" s="20" t="s">
        <v>131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94.5" hidden="false" customHeight="true" outlineLevel="0" collapsed="false">
      <c r="A14" s="16" t="n">
        <v>13</v>
      </c>
      <c r="B14" s="17" t="s">
        <v>132</v>
      </c>
      <c r="C14" s="17" t="s">
        <v>133</v>
      </c>
      <c r="D14" s="18" t="s">
        <v>134</v>
      </c>
      <c r="E14" s="18" t="s">
        <v>57</v>
      </c>
      <c r="F14" s="18" t="s">
        <v>135</v>
      </c>
      <c r="G14" s="18" t="s">
        <v>136</v>
      </c>
      <c r="H14" s="17" t="s">
        <v>137</v>
      </c>
      <c r="I14" s="18" t="s">
        <v>138</v>
      </c>
      <c r="J14" s="17" t="s">
        <v>139</v>
      </c>
      <c r="K14" s="17" t="s">
        <v>140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94.5" hidden="false" customHeight="true" outlineLevel="0" collapsed="false">
      <c r="A15" s="19" t="n">
        <v>14</v>
      </c>
      <c r="B15" s="20" t="s">
        <v>141</v>
      </c>
      <c r="C15" s="20" t="s">
        <v>133</v>
      </c>
      <c r="D15" s="21" t="s">
        <v>142</v>
      </c>
      <c r="E15" s="21" t="s">
        <v>49</v>
      </c>
      <c r="F15" s="21" t="s">
        <v>143</v>
      </c>
      <c r="G15" s="20" t="s">
        <v>144</v>
      </c>
      <c r="H15" s="20" t="s">
        <v>145</v>
      </c>
      <c r="I15" s="20" t="s">
        <v>146</v>
      </c>
      <c r="J15" s="20" t="s">
        <v>147</v>
      </c>
      <c r="K15" s="20" t="s">
        <v>148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94.5" hidden="false" customHeight="true" outlineLevel="0" collapsed="false">
      <c r="A16" s="16" t="n">
        <v>15</v>
      </c>
      <c r="B16" s="17" t="s">
        <v>149</v>
      </c>
      <c r="C16" s="17" t="s">
        <v>150</v>
      </c>
      <c r="D16" s="18" t="s">
        <v>151</v>
      </c>
      <c r="E16" s="18" t="s">
        <v>49</v>
      </c>
      <c r="F16" s="18" t="s">
        <v>152</v>
      </c>
      <c r="G16" s="17" t="s">
        <v>153</v>
      </c>
      <c r="H16" s="17" t="s">
        <v>154</v>
      </c>
      <c r="I16" s="17" t="s">
        <v>155</v>
      </c>
      <c r="J16" s="17" t="s">
        <v>156</v>
      </c>
      <c r="K16" s="17" t="s">
        <v>157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94.5" hidden="false" customHeight="true" outlineLevel="0" collapsed="false">
      <c r="A17" s="16" t="n">
        <v>16</v>
      </c>
      <c r="B17" s="17" t="s">
        <v>158</v>
      </c>
      <c r="C17" s="17" t="s">
        <v>159</v>
      </c>
      <c r="D17" s="18" t="s">
        <v>160</v>
      </c>
      <c r="E17" s="18" t="s">
        <v>49</v>
      </c>
      <c r="F17" s="18" t="s">
        <v>161</v>
      </c>
      <c r="G17" s="17" t="s">
        <v>162</v>
      </c>
      <c r="H17" s="17" t="s">
        <v>163</v>
      </c>
      <c r="I17" s="17" t="s">
        <v>164</v>
      </c>
      <c r="J17" s="17" t="s">
        <v>165</v>
      </c>
      <c r="K17" s="17" t="s">
        <v>166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94.5" hidden="false" customHeight="true" outlineLevel="0" collapsed="false">
      <c r="A18" s="16" t="n">
        <v>17</v>
      </c>
      <c r="B18" s="17" t="s">
        <v>167</v>
      </c>
      <c r="C18" s="17" t="s">
        <v>159</v>
      </c>
      <c r="D18" s="18" t="s">
        <v>168</v>
      </c>
      <c r="E18" s="18" t="s">
        <v>49</v>
      </c>
      <c r="F18" s="18" t="s">
        <v>169</v>
      </c>
      <c r="G18" s="17" t="s">
        <v>170</v>
      </c>
      <c r="H18" s="17" t="s">
        <v>171</v>
      </c>
      <c r="I18" s="18" t="s">
        <v>172</v>
      </c>
      <c r="J18" s="17" t="s">
        <v>173</v>
      </c>
      <c r="K18" s="17" t="s">
        <v>45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94.5" hidden="false" customHeight="true" outlineLevel="0" collapsed="false">
      <c r="A19" s="16" t="n">
        <v>18</v>
      </c>
      <c r="B19" s="17" t="s">
        <v>174</v>
      </c>
      <c r="C19" s="17" t="s">
        <v>175</v>
      </c>
      <c r="D19" s="18" t="s">
        <v>176</v>
      </c>
      <c r="E19" s="18" t="s">
        <v>57</v>
      </c>
      <c r="F19" s="18" t="s">
        <v>177</v>
      </c>
      <c r="G19" s="18" t="s">
        <v>178</v>
      </c>
      <c r="H19" s="17" t="s">
        <v>45</v>
      </c>
      <c r="I19" s="17" t="s">
        <v>179</v>
      </c>
      <c r="J19" s="17" t="s">
        <v>180</v>
      </c>
      <c r="K19" s="17" t="s">
        <v>45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94.5" hidden="false" customHeight="true" outlineLevel="0" collapsed="false">
      <c r="A20" s="16" t="n">
        <v>19</v>
      </c>
      <c r="B20" s="17" t="s">
        <v>181</v>
      </c>
      <c r="C20" s="17" t="s">
        <v>182</v>
      </c>
      <c r="D20" s="18" t="s">
        <v>183</v>
      </c>
      <c r="E20" s="18" t="s">
        <v>57</v>
      </c>
      <c r="F20" s="18" t="s">
        <v>184</v>
      </c>
      <c r="G20" s="17" t="s">
        <v>185</v>
      </c>
      <c r="H20" s="17" t="s">
        <v>186</v>
      </c>
      <c r="I20" s="17" t="s">
        <v>187</v>
      </c>
      <c r="J20" s="17" t="s">
        <v>188</v>
      </c>
      <c r="K20" s="17" t="s">
        <v>54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94.5" hidden="false" customHeight="true" outlineLevel="0" collapsed="false">
      <c r="A21" s="19" t="n">
        <v>20</v>
      </c>
      <c r="B21" s="20" t="s">
        <v>189</v>
      </c>
      <c r="C21" s="20" t="s">
        <v>182</v>
      </c>
      <c r="D21" s="21" t="s">
        <v>190</v>
      </c>
      <c r="E21" s="21" t="s">
        <v>49</v>
      </c>
      <c r="F21" s="20" t="s">
        <v>191</v>
      </c>
      <c r="G21" s="20" t="s">
        <v>192</v>
      </c>
      <c r="H21" s="20" t="s">
        <v>193</v>
      </c>
      <c r="I21" s="20" t="s">
        <v>194</v>
      </c>
      <c r="J21" s="20" t="s">
        <v>195</v>
      </c>
      <c r="K21" s="20" t="s">
        <v>196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94.5" hidden="false" customHeight="true" outlineLevel="0" collapsed="false">
      <c r="A22" s="19" t="n">
        <v>21</v>
      </c>
      <c r="B22" s="20" t="s">
        <v>197</v>
      </c>
      <c r="C22" s="20" t="s">
        <v>182</v>
      </c>
      <c r="D22" s="21" t="s">
        <v>198</v>
      </c>
      <c r="E22" s="21" t="s">
        <v>49</v>
      </c>
      <c r="F22" s="20" t="s">
        <v>199</v>
      </c>
      <c r="G22" s="21" t="s">
        <v>200</v>
      </c>
      <c r="H22" s="20" t="s">
        <v>201</v>
      </c>
      <c r="I22" s="20" t="s">
        <v>202</v>
      </c>
      <c r="J22" s="20" t="s">
        <v>203</v>
      </c>
      <c r="K22" s="20" t="s">
        <v>204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94.5" hidden="false" customHeight="true" outlineLevel="0" collapsed="false">
      <c r="A23" s="16" t="n">
        <v>22</v>
      </c>
      <c r="B23" s="17" t="s">
        <v>205</v>
      </c>
      <c r="C23" s="17" t="s">
        <v>206</v>
      </c>
      <c r="D23" s="18" t="s">
        <v>207</v>
      </c>
      <c r="E23" s="18" t="s">
        <v>57</v>
      </c>
      <c r="F23" s="18" t="s">
        <v>208</v>
      </c>
      <c r="G23" s="18" t="s">
        <v>209</v>
      </c>
      <c r="H23" s="17" t="s">
        <v>45</v>
      </c>
      <c r="I23" s="17" t="s">
        <v>45</v>
      </c>
      <c r="J23" s="17" t="s">
        <v>210</v>
      </c>
      <c r="K23" s="17" t="s">
        <v>211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94.5" hidden="false" customHeight="true" outlineLevel="0" collapsed="false">
      <c r="A24" s="16" t="n">
        <v>23</v>
      </c>
      <c r="B24" s="17" t="s">
        <v>212</v>
      </c>
      <c r="C24" s="17" t="s">
        <v>213</v>
      </c>
      <c r="D24" s="18" t="s">
        <v>214</v>
      </c>
      <c r="E24" s="18" t="s">
        <v>41</v>
      </c>
      <c r="F24" s="18" t="s">
        <v>215</v>
      </c>
      <c r="G24" s="17" t="s">
        <v>216</v>
      </c>
      <c r="H24" s="17" t="s">
        <v>217</v>
      </c>
      <c r="I24" s="17" t="s">
        <v>45</v>
      </c>
      <c r="J24" s="17" t="s">
        <v>218</v>
      </c>
      <c r="K24" s="17" t="s">
        <v>45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94.5" hidden="false" customHeight="true" outlineLevel="0" collapsed="false">
      <c r="A25" s="16" t="n">
        <v>24</v>
      </c>
      <c r="B25" s="17" t="s">
        <v>219</v>
      </c>
      <c r="C25" s="17" t="s">
        <v>213</v>
      </c>
      <c r="D25" s="18" t="s">
        <v>220</v>
      </c>
      <c r="E25" s="18" t="s">
        <v>41</v>
      </c>
      <c r="F25" s="18" t="s">
        <v>221</v>
      </c>
      <c r="G25" s="17" t="s">
        <v>222</v>
      </c>
      <c r="H25" s="17" t="s">
        <v>223</v>
      </c>
      <c r="I25" s="17" t="s">
        <v>224</v>
      </c>
      <c r="J25" s="17" t="s">
        <v>225</v>
      </c>
      <c r="K25" s="17" t="s">
        <v>45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94.5" hidden="false" customHeight="true" outlineLevel="0" collapsed="false">
      <c r="A26" s="16" t="n">
        <v>25</v>
      </c>
      <c r="B26" s="17" t="s">
        <v>226</v>
      </c>
      <c r="C26" s="17" t="s">
        <v>213</v>
      </c>
      <c r="D26" s="18" t="s">
        <v>227</v>
      </c>
      <c r="E26" s="18" t="s">
        <v>41</v>
      </c>
      <c r="F26" s="18" t="s">
        <v>228</v>
      </c>
      <c r="G26" s="18" t="s">
        <v>229</v>
      </c>
      <c r="H26" s="17" t="s">
        <v>230</v>
      </c>
      <c r="I26" s="17" t="s">
        <v>231</v>
      </c>
      <c r="J26" s="17" t="s">
        <v>232</v>
      </c>
      <c r="K26" s="17" t="s">
        <v>233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94.5" hidden="false" customHeight="true" outlineLevel="0" collapsed="false">
      <c r="A27" s="16" t="n">
        <v>26</v>
      </c>
      <c r="B27" s="17" t="s">
        <v>234</v>
      </c>
      <c r="C27" s="17" t="s">
        <v>213</v>
      </c>
      <c r="D27" s="18" t="s">
        <v>235</v>
      </c>
      <c r="E27" s="18" t="s">
        <v>41</v>
      </c>
      <c r="F27" s="18" t="s">
        <v>236</v>
      </c>
      <c r="G27" s="18" t="s">
        <v>237</v>
      </c>
      <c r="H27" s="17" t="s">
        <v>45</v>
      </c>
      <c r="I27" s="17" t="s">
        <v>238</v>
      </c>
      <c r="J27" s="17" t="s">
        <v>239</v>
      </c>
      <c r="K27" s="17" t="s">
        <v>45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94.5" hidden="false" customHeight="true" outlineLevel="0" collapsed="false">
      <c r="A28" s="16" t="n">
        <v>27</v>
      </c>
      <c r="B28" s="17" t="s">
        <v>240</v>
      </c>
      <c r="C28" s="17" t="s">
        <v>213</v>
      </c>
      <c r="D28" s="18" t="s">
        <v>241</v>
      </c>
      <c r="E28" s="18" t="s">
        <v>41</v>
      </c>
      <c r="F28" s="18" t="s">
        <v>242</v>
      </c>
      <c r="G28" s="17" t="s">
        <v>243</v>
      </c>
      <c r="H28" s="17" t="s">
        <v>186</v>
      </c>
      <c r="I28" s="17" t="s">
        <v>244</v>
      </c>
      <c r="J28" s="17" t="s">
        <v>245</v>
      </c>
      <c r="K28" s="17" t="s">
        <v>45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16" t="n">
        <v>28</v>
      </c>
      <c r="B29" s="17" t="s">
        <v>246</v>
      </c>
      <c r="C29" s="17" t="s">
        <v>213</v>
      </c>
      <c r="D29" s="18" t="s">
        <v>247</v>
      </c>
      <c r="E29" s="18" t="s">
        <v>41</v>
      </c>
      <c r="F29" s="18" t="s">
        <v>248</v>
      </c>
      <c r="G29" s="17" t="s">
        <v>249</v>
      </c>
      <c r="H29" s="17" t="s">
        <v>45</v>
      </c>
      <c r="I29" s="17" t="s">
        <v>250</v>
      </c>
      <c r="J29" s="17" t="s">
        <v>251</v>
      </c>
      <c r="K29" s="17" t="s">
        <v>252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19" t="n">
        <v>29</v>
      </c>
      <c r="B30" s="20" t="s">
        <v>253</v>
      </c>
      <c r="C30" s="20" t="s">
        <v>213</v>
      </c>
      <c r="D30" s="21" t="s">
        <v>254</v>
      </c>
      <c r="E30" s="21" t="s">
        <v>49</v>
      </c>
      <c r="F30" s="20" t="s">
        <v>255</v>
      </c>
      <c r="G30" s="20" t="s">
        <v>256</v>
      </c>
      <c r="H30" s="20" t="s">
        <v>257</v>
      </c>
      <c r="I30" s="20" t="s">
        <v>258</v>
      </c>
      <c r="J30" s="20" t="s">
        <v>259</v>
      </c>
      <c r="K30" s="20" t="s">
        <v>260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16" t="n">
        <v>30</v>
      </c>
      <c r="B31" s="17" t="s">
        <v>261</v>
      </c>
      <c r="C31" s="17" t="s">
        <v>262</v>
      </c>
      <c r="D31" s="18" t="s">
        <v>263</v>
      </c>
      <c r="E31" s="18" t="s">
        <v>49</v>
      </c>
      <c r="F31" s="18" t="s">
        <v>264</v>
      </c>
      <c r="G31" s="17" t="s">
        <v>265</v>
      </c>
      <c r="H31" s="17" t="s">
        <v>266</v>
      </c>
      <c r="I31" s="17" t="s">
        <v>267</v>
      </c>
      <c r="J31" s="17" t="s">
        <v>173</v>
      </c>
      <c r="K31" s="17" t="s">
        <v>63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19" t="n">
        <v>31</v>
      </c>
      <c r="B32" s="20" t="s">
        <v>268</v>
      </c>
      <c r="C32" s="20" t="s">
        <v>262</v>
      </c>
      <c r="D32" s="21" t="s">
        <v>269</v>
      </c>
      <c r="E32" s="21" t="s">
        <v>49</v>
      </c>
      <c r="F32" s="21" t="s">
        <v>270</v>
      </c>
      <c r="G32" s="20" t="s">
        <v>271</v>
      </c>
      <c r="H32" s="20" t="s">
        <v>272</v>
      </c>
      <c r="I32" s="20" t="s">
        <v>273</v>
      </c>
      <c r="J32" s="20" t="s">
        <v>274</v>
      </c>
      <c r="K32" s="20" t="s">
        <v>275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16" t="n">
        <v>32</v>
      </c>
      <c r="B33" s="17" t="s">
        <v>276</v>
      </c>
      <c r="C33" s="17" t="s">
        <v>262</v>
      </c>
      <c r="D33" s="18" t="s">
        <v>277</v>
      </c>
      <c r="E33" s="18" t="s">
        <v>49</v>
      </c>
      <c r="F33" s="18" t="s">
        <v>278</v>
      </c>
      <c r="G33" s="17" t="s">
        <v>279</v>
      </c>
      <c r="H33" s="17" t="s">
        <v>280</v>
      </c>
      <c r="I33" s="18" t="s">
        <v>281</v>
      </c>
      <c r="J33" s="17" t="s">
        <v>282</v>
      </c>
      <c r="K33" s="17" t="s">
        <v>283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16" t="n">
        <v>33</v>
      </c>
      <c r="B34" s="17" t="s">
        <v>284</v>
      </c>
      <c r="C34" s="17" t="s">
        <v>262</v>
      </c>
      <c r="D34" s="18" t="s">
        <v>285</v>
      </c>
      <c r="E34" s="18" t="s">
        <v>49</v>
      </c>
      <c r="F34" s="18" t="s">
        <v>286</v>
      </c>
      <c r="G34" s="17" t="s">
        <v>287</v>
      </c>
      <c r="H34" s="17" t="s">
        <v>288</v>
      </c>
      <c r="I34" s="17" t="s">
        <v>289</v>
      </c>
      <c r="J34" s="17" t="s">
        <v>290</v>
      </c>
      <c r="K34" s="17" t="s">
        <v>291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16" t="n">
        <v>34</v>
      </c>
      <c r="B35" s="17" t="s">
        <v>292</v>
      </c>
      <c r="C35" s="17" t="s">
        <v>262</v>
      </c>
      <c r="D35" s="18" t="s">
        <v>293</v>
      </c>
      <c r="E35" s="18" t="s">
        <v>49</v>
      </c>
      <c r="F35" s="18" t="s">
        <v>294</v>
      </c>
      <c r="G35" s="17" t="s">
        <v>295</v>
      </c>
      <c r="H35" s="17" t="s">
        <v>296</v>
      </c>
      <c r="I35" s="17" t="s">
        <v>297</v>
      </c>
      <c r="J35" s="17" t="s">
        <v>298</v>
      </c>
      <c r="K35" s="17" t="s">
        <v>299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16" t="n">
        <v>35</v>
      </c>
      <c r="B36" s="17" t="s">
        <v>300</v>
      </c>
      <c r="C36" s="17" t="s">
        <v>262</v>
      </c>
      <c r="D36" s="17" t="s">
        <v>301</v>
      </c>
      <c r="E36" s="18" t="s">
        <v>49</v>
      </c>
      <c r="F36" s="18" t="s">
        <v>302</v>
      </c>
      <c r="G36" s="17" t="s">
        <v>303</v>
      </c>
      <c r="H36" s="17" t="s">
        <v>304</v>
      </c>
      <c r="I36" s="17" t="s">
        <v>305</v>
      </c>
      <c r="J36" s="17" t="s">
        <v>173</v>
      </c>
      <c r="K36" s="17" t="s">
        <v>306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19" t="n">
        <v>36</v>
      </c>
      <c r="B37" s="20" t="s">
        <v>307</v>
      </c>
      <c r="C37" s="20" t="s">
        <v>262</v>
      </c>
      <c r="D37" s="21" t="s">
        <v>308</v>
      </c>
      <c r="E37" s="21" t="s">
        <v>49</v>
      </c>
      <c r="F37" s="20" t="s">
        <v>309</v>
      </c>
      <c r="G37" s="20" t="s">
        <v>310</v>
      </c>
      <c r="H37" s="20" t="s">
        <v>311</v>
      </c>
      <c r="I37" s="20" t="s">
        <v>312</v>
      </c>
      <c r="J37" s="20" t="s">
        <v>173</v>
      </c>
      <c r="K37" s="20" t="s">
        <v>313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16" t="n">
        <v>37</v>
      </c>
      <c r="B38" s="17" t="s">
        <v>314</v>
      </c>
      <c r="C38" s="17" t="s">
        <v>262</v>
      </c>
      <c r="D38" s="18" t="s">
        <v>315</v>
      </c>
      <c r="E38" s="18" t="s">
        <v>49</v>
      </c>
      <c r="F38" s="18" t="s">
        <v>316</v>
      </c>
      <c r="G38" s="18" t="s">
        <v>317</v>
      </c>
      <c r="H38" s="17" t="s">
        <v>318</v>
      </c>
      <c r="I38" s="18" t="s">
        <v>319</v>
      </c>
      <c r="J38" s="18" t="s">
        <v>320</v>
      </c>
      <c r="K38" s="17" t="s">
        <v>321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16" t="n">
        <v>38</v>
      </c>
      <c r="B39" s="17" t="s">
        <v>322</v>
      </c>
      <c r="C39" s="17" t="s">
        <v>262</v>
      </c>
      <c r="D39" s="18" t="s">
        <v>323</v>
      </c>
      <c r="E39" s="18" t="s">
        <v>49</v>
      </c>
      <c r="F39" s="18" t="s">
        <v>324</v>
      </c>
      <c r="G39" s="18" t="s">
        <v>325</v>
      </c>
      <c r="H39" s="17" t="s">
        <v>326</v>
      </c>
      <c r="I39" s="17" t="s">
        <v>327</v>
      </c>
      <c r="J39" s="17" t="s">
        <v>173</v>
      </c>
      <c r="K39" s="17" t="s">
        <v>328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19" t="n">
        <v>39</v>
      </c>
      <c r="B40" s="20" t="s">
        <v>329</v>
      </c>
      <c r="C40" s="20" t="s">
        <v>262</v>
      </c>
      <c r="D40" s="21" t="s">
        <v>330</v>
      </c>
      <c r="E40" s="21" t="s">
        <v>49</v>
      </c>
      <c r="F40" s="20" t="s">
        <v>331</v>
      </c>
      <c r="G40" s="20" t="s">
        <v>332</v>
      </c>
      <c r="H40" s="20" t="s">
        <v>333</v>
      </c>
      <c r="I40" s="20" t="s">
        <v>334</v>
      </c>
      <c r="J40" s="20" t="s">
        <v>335</v>
      </c>
      <c r="K40" s="20" t="s">
        <v>336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19" t="n">
        <v>40</v>
      </c>
      <c r="B41" s="20" t="s">
        <v>337</v>
      </c>
      <c r="C41" s="20" t="s">
        <v>262</v>
      </c>
      <c r="D41" s="21" t="s">
        <v>338</v>
      </c>
      <c r="E41" s="21" t="s">
        <v>49</v>
      </c>
      <c r="F41" s="20" t="s">
        <v>339</v>
      </c>
      <c r="G41" s="21" t="s">
        <v>340</v>
      </c>
      <c r="H41" s="20" t="s">
        <v>341</v>
      </c>
      <c r="I41" s="20" t="s">
        <v>342</v>
      </c>
      <c r="J41" s="20" t="s">
        <v>343</v>
      </c>
      <c r="K41" s="20" t="s">
        <v>45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19" t="n">
        <v>41</v>
      </c>
      <c r="B42" s="20" t="s">
        <v>344</v>
      </c>
      <c r="C42" s="20" t="s">
        <v>345</v>
      </c>
      <c r="D42" s="21" t="s">
        <v>346</v>
      </c>
      <c r="E42" s="21" t="s">
        <v>49</v>
      </c>
      <c r="F42" s="20" t="s">
        <v>347</v>
      </c>
      <c r="G42" s="20" t="s">
        <v>348</v>
      </c>
      <c r="H42" s="20" t="s">
        <v>349</v>
      </c>
      <c r="I42" s="21" t="s">
        <v>350</v>
      </c>
      <c r="J42" s="20" t="s">
        <v>351</v>
      </c>
      <c r="K42" s="20" t="s">
        <v>352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19" t="n">
        <v>42</v>
      </c>
      <c r="B43" s="20" t="s">
        <v>353</v>
      </c>
      <c r="C43" s="20" t="s">
        <v>345</v>
      </c>
      <c r="D43" s="21" t="s">
        <v>354</v>
      </c>
      <c r="E43" s="21" t="s">
        <v>49</v>
      </c>
      <c r="F43" s="20" t="s">
        <v>355</v>
      </c>
      <c r="G43" s="20" t="s">
        <v>356</v>
      </c>
      <c r="H43" s="20" t="s">
        <v>357</v>
      </c>
      <c r="I43" s="20" t="s">
        <v>358</v>
      </c>
      <c r="J43" s="20" t="s">
        <v>173</v>
      </c>
      <c r="K43" s="20" t="s">
        <v>359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19" t="n">
        <v>43</v>
      </c>
      <c r="B44" s="20" t="s">
        <v>360</v>
      </c>
      <c r="C44" s="20" t="s">
        <v>345</v>
      </c>
      <c r="D44" s="21" t="s">
        <v>361</v>
      </c>
      <c r="E44" s="21" t="s">
        <v>49</v>
      </c>
      <c r="F44" s="20" t="s">
        <v>362</v>
      </c>
      <c r="G44" s="20" t="s">
        <v>363</v>
      </c>
      <c r="H44" s="20" t="s">
        <v>364</v>
      </c>
      <c r="I44" s="21" t="s">
        <v>365</v>
      </c>
      <c r="J44" s="20" t="s">
        <v>173</v>
      </c>
      <c r="K44" s="20" t="s">
        <v>366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19" t="n">
        <v>45</v>
      </c>
      <c r="B45" s="20" t="s">
        <v>367</v>
      </c>
      <c r="C45" s="20" t="s">
        <v>206</v>
      </c>
      <c r="D45" s="21" t="s">
        <v>368</v>
      </c>
      <c r="E45" s="21" t="s">
        <v>369</v>
      </c>
      <c r="F45" s="21" t="s">
        <v>370</v>
      </c>
      <c r="G45" s="21" t="s">
        <v>371</v>
      </c>
      <c r="H45" s="20" t="s">
        <v>372</v>
      </c>
      <c r="I45" s="20" t="s">
        <v>373</v>
      </c>
      <c r="J45" s="20" t="s">
        <v>374</v>
      </c>
      <c r="K45" s="20" t="s">
        <v>375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19" t="n">
        <v>46</v>
      </c>
      <c r="B46" s="20" t="s">
        <v>376</v>
      </c>
      <c r="C46" s="20" t="s">
        <v>213</v>
      </c>
      <c r="D46" s="21" t="s">
        <v>377</v>
      </c>
      <c r="E46" s="21" t="s">
        <v>369</v>
      </c>
      <c r="F46" s="21" t="s">
        <v>378</v>
      </c>
      <c r="G46" s="21" t="s">
        <v>379</v>
      </c>
      <c r="H46" s="20" t="s">
        <v>380</v>
      </c>
      <c r="I46" s="21" t="s">
        <v>381</v>
      </c>
      <c r="J46" s="20" t="s">
        <v>382</v>
      </c>
      <c r="K46" s="20" t="s">
        <v>383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2" t="n">
        <v>47</v>
      </c>
      <c r="B47" s="23" t="s">
        <v>384</v>
      </c>
      <c r="C47" s="23" t="s">
        <v>385</v>
      </c>
      <c r="D47" s="24" t="s">
        <v>386</v>
      </c>
      <c r="E47" s="24" t="s">
        <v>387</v>
      </c>
      <c r="F47" s="24" t="s">
        <v>388</v>
      </c>
      <c r="G47" s="23" t="s">
        <v>389</v>
      </c>
      <c r="H47" s="23" t="s">
        <v>390</v>
      </c>
      <c r="I47" s="23" t="s">
        <v>45</v>
      </c>
      <c r="J47" s="23" t="s">
        <v>45</v>
      </c>
      <c r="K47" s="23" t="s">
        <v>45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2" t="n">
        <v>48</v>
      </c>
      <c r="B48" s="23" t="s">
        <v>391</v>
      </c>
      <c r="C48" s="23" t="s">
        <v>385</v>
      </c>
      <c r="D48" s="24" t="s">
        <v>392</v>
      </c>
      <c r="E48" s="24" t="s">
        <v>387</v>
      </c>
      <c r="F48" s="24" t="s">
        <v>393</v>
      </c>
      <c r="G48" s="23" t="s">
        <v>394</v>
      </c>
      <c r="H48" s="23" t="s">
        <v>395</v>
      </c>
      <c r="I48" s="23" t="s">
        <v>45</v>
      </c>
      <c r="J48" s="23" t="s">
        <v>45</v>
      </c>
      <c r="K48" s="23" t="s">
        <v>45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/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7" min="1" style="0" width="21.85"/>
    <col collapsed="false" customWidth="true" hidden="false" outlineLevel="0" max="8" min="8" style="0" width="36.43"/>
    <col collapsed="false" customWidth="true" hidden="false" outlineLevel="0" max="26" min="9" style="0" width="21.85"/>
  </cols>
  <sheetData>
    <row r="1" customFormat="false" ht="17.15" hidden="false" customHeight="false" outlineLevel="0" collapsed="false">
      <c r="A1" s="14" t="s">
        <v>28</v>
      </c>
      <c r="B1" s="15" t="s">
        <v>29</v>
      </c>
      <c r="C1" s="15" t="s">
        <v>396</v>
      </c>
      <c r="D1" s="15" t="s">
        <v>397</v>
      </c>
      <c r="E1" s="15" t="s">
        <v>398</v>
      </c>
      <c r="F1" s="15" t="s">
        <v>1</v>
      </c>
      <c r="G1" s="15" t="s">
        <v>32</v>
      </c>
      <c r="H1" s="15" t="s">
        <v>33</v>
      </c>
      <c r="I1" s="15" t="s">
        <v>399</v>
      </c>
      <c r="J1" s="15" t="s">
        <v>35</v>
      </c>
      <c r="K1" s="15" t="s">
        <v>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4.6" hidden="false" customHeight="false" outlineLevel="0" collapsed="false">
      <c r="A2" s="19" t="n">
        <v>1</v>
      </c>
      <c r="B2" s="20" t="s">
        <v>400</v>
      </c>
      <c r="C2" s="21" t="s">
        <v>401</v>
      </c>
      <c r="D2" s="21" t="s">
        <v>402</v>
      </c>
      <c r="E2" s="21" t="s">
        <v>403</v>
      </c>
      <c r="F2" s="21" t="s">
        <v>49</v>
      </c>
      <c r="G2" s="20" t="s">
        <v>404</v>
      </c>
      <c r="H2" s="21" t="s">
        <v>405</v>
      </c>
      <c r="I2" s="20" t="s">
        <v>406</v>
      </c>
      <c r="J2" s="20" t="s">
        <v>407</v>
      </c>
      <c r="K2" s="20" t="s">
        <v>45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8.2" hidden="false" customHeight="false" outlineLevel="0" collapsed="false">
      <c r="A3" s="19" t="n">
        <v>2</v>
      </c>
      <c r="B3" s="20" t="s">
        <v>408</v>
      </c>
      <c r="C3" s="21" t="s">
        <v>401</v>
      </c>
      <c r="D3" s="21" t="s">
        <v>409</v>
      </c>
      <c r="E3" s="21" t="s">
        <v>403</v>
      </c>
      <c r="F3" s="21" t="s">
        <v>49</v>
      </c>
      <c r="G3" s="21" t="s">
        <v>410</v>
      </c>
      <c r="H3" s="21" t="s">
        <v>411</v>
      </c>
      <c r="I3" s="20" t="s">
        <v>412</v>
      </c>
      <c r="J3" s="20" t="s">
        <v>413</v>
      </c>
      <c r="K3" s="20" t="s">
        <v>352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73.85" hidden="false" customHeight="false" outlineLevel="0" collapsed="false">
      <c r="A4" s="19" t="n">
        <v>3</v>
      </c>
      <c r="B4" s="20" t="s">
        <v>414</v>
      </c>
      <c r="C4" s="21" t="s">
        <v>415</v>
      </c>
      <c r="D4" s="21" t="s">
        <v>416</v>
      </c>
      <c r="E4" s="21" t="s">
        <v>417</v>
      </c>
      <c r="F4" s="21" t="s">
        <v>49</v>
      </c>
      <c r="G4" s="21" t="s">
        <v>418</v>
      </c>
      <c r="H4" s="20" t="s">
        <v>419</v>
      </c>
      <c r="I4" s="20" t="s">
        <v>420</v>
      </c>
      <c r="J4" s="20" t="s">
        <v>421</v>
      </c>
      <c r="K4" s="20" t="s">
        <v>422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26.85" hidden="false" customHeight="false" outlineLevel="0" collapsed="false">
      <c r="A5" s="19" t="n">
        <v>4</v>
      </c>
      <c r="B5" s="20" t="s">
        <v>423</v>
      </c>
      <c r="C5" s="21" t="s">
        <v>424</v>
      </c>
      <c r="D5" s="21" t="s">
        <v>425</v>
      </c>
      <c r="E5" s="21" t="s">
        <v>417</v>
      </c>
      <c r="F5" s="21" t="s">
        <v>49</v>
      </c>
      <c r="G5" s="20" t="s">
        <v>426</v>
      </c>
      <c r="H5" s="20" t="s">
        <v>427</v>
      </c>
      <c r="I5" s="20" t="s">
        <v>428</v>
      </c>
      <c r="J5" s="20" t="s">
        <v>429</v>
      </c>
      <c r="K5" s="20" t="s">
        <v>123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95.5" hidden="false" customHeight="false" outlineLevel="0" collapsed="false">
      <c r="A6" s="19" t="n">
        <v>5</v>
      </c>
      <c r="B6" s="20" t="s">
        <v>430</v>
      </c>
      <c r="C6" s="21" t="s">
        <v>424</v>
      </c>
      <c r="D6" s="21" t="s">
        <v>431</v>
      </c>
      <c r="E6" s="21" t="s">
        <v>417</v>
      </c>
      <c r="F6" s="21" t="s">
        <v>49</v>
      </c>
      <c r="G6" s="20" t="s">
        <v>432</v>
      </c>
      <c r="H6" s="20" t="s">
        <v>433</v>
      </c>
      <c r="I6" s="20" t="s">
        <v>434</v>
      </c>
      <c r="J6" s="20" t="s">
        <v>435</v>
      </c>
      <c r="K6" s="20" t="s">
        <v>131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95.5" hidden="false" customHeight="false" outlineLevel="0" collapsed="false">
      <c r="A7" s="19" t="n">
        <v>6</v>
      </c>
      <c r="B7" s="20" t="s">
        <v>436</v>
      </c>
      <c r="C7" s="21" t="s">
        <v>437</v>
      </c>
      <c r="D7" s="21" t="s">
        <v>438</v>
      </c>
      <c r="E7" s="21" t="s">
        <v>417</v>
      </c>
      <c r="F7" s="21" t="s">
        <v>49</v>
      </c>
      <c r="G7" s="21" t="s">
        <v>439</v>
      </c>
      <c r="H7" s="20" t="s">
        <v>440</v>
      </c>
      <c r="I7" s="20" t="s">
        <v>441</v>
      </c>
      <c r="J7" s="20" t="s">
        <v>442</v>
      </c>
      <c r="K7" s="20" t="s">
        <v>443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11.15" hidden="false" customHeight="false" outlineLevel="0" collapsed="false">
      <c r="A8" s="19" t="n">
        <v>7</v>
      </c>
      <c r="B8" s="20" t="s">
        <v>444</v>
      </c>
      <c r="C8" s="21" t="s">
        <v>437</v>
      </c>
      <c r="D8" s="21" t="s">
        <v>445</v>
      </c>
      <c r="E8" s="21" t="s">
        <v>417</v>
      </c>
      <c r="F8" s="21" t="s">
        <v>49</v>
      </c>
      <c r="G8" s="21" t="s">
        <v>446</v>
      </c>
      <c r="H8" s="20" t="s">
        <v>447</v>
      </c>
      <c r="I8" s="20" t="s">
        <v>448</v>
      </c>
      <c r="J8" s="20" t="s">
        <v>449</v>
      </c>
      <c r="K8" s="20" t="s">
        <v>90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95.5" hidden="false" customHeight="false" outlineLevel="0" collapsed="false">
      <c r="A9" s="19" t="n">
        <v>8</v>
      </c>
      <c r="B9" s="20" t="s">
        <v>450</v>
      </c>
      <c r="C9" s="21" t="s">
        <v>437</v>
      </c>
      <c r="D9" s="21" t="s">
        <v>451</v>
      </c>
      <c r="E9" s="21" t="s">
        <v>417</v>
      </c>
      <c r="F9" s="21" t="s">
        <v>49</v>
      </c>
      <c r="G9" s="20" t="s">
        <v>452</v>
      </c>
      <c r="H9" s="20" t="s">
        <v>453</v>
      </c>
      <c r="I9" s="20" t="s">
        <v>454</v>
      </c>
      <c r="J9" s="20" t="s">
        <v>455</v>
      </c>
      <c r="K9" s="20" t="s">
        <v>336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71.6" hidden="false" customHeight="false" outlineLevel="0" collapsed="false">
      <c r="A10" s="19" t="n">
        <v>9</v>
      </c>
      <c r="B10" s="20" t="s">
        <v>456</v>
      </c>
      <c r="C10" s="21" t="s">
        <v>457</v>
      </c>
      <c r="D10" s="21" t="s">
        <v>458</v>
      </c>
      <c r="E10" s="21" t="s">
        <v>403</v>
      </c>
      <c r="F10" s="21" t="s">
        <v>49</v>
      </c>
      <c r="G10" s="21" t="s">
        <v>459</v>
      </c>
      <c r="H10" s="20" t="s">
        <v>460</v>
      </c>
      <c r="I10" s="20" t="s">
        <v>461</v>
      </c>
      <c r="J10" s="20" t="s">
        <v>462</v>
      </c>
      <c r="K10" s="20" t="s">
        <v>463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11.15" hidden="false" customHeight="false" outlineLevel="0" collapsed="false">
      <c r="A11" s="19" t="n">
        <v>10</v>
      </c>
      <c r="B11" s="20" t="s">
        <v>464</v>
      </c>
      <c r="C11" s="21" t="s">
        <v>465</v>
      </c>
      <c r="D11" s="21" t="s">
        <v>466</v>
      </c>
      <c r="E11" s="21" t="s">
        <v>403</v>
      </c>
      <c r="F11" s="21" t="s">
        <v>49</v>
      </c>
      <c r="G11" s="20" t="s">
        <v>467</v>
      </c>
      <c r="H11" s="20" t="s">
        <v>468</v>
      </c>
      <c r="I11" s="20" t="s">
        <v>469</v>
      </c>
      <c r="J11" s="20" t="s">
        <v>470</v>
      </c>
      <c r="K11" s="20" t="s">
        <v>471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64.15" hidden="false" customHeight="false" outlineLevel="0" collapsed="false">
      <c r="A12" s="19" t="n">
        <v>11</v>
      </c>
      <c r="B12" s="20" t="s">
        <v>472</v>
      </c>
      <c r="C12" s="21" t="s">
        <v>465</v>
      </c>
      <c r="D12" s="21" t="s">
        <v>473</v>
      </c>
      <c r="E12" s="21" t="s">
        <v>417</v>
      </c>
      <c r="F12" s="21" t="s">
        <v>49</v>
      </c>
      <c r="G12" s="21" t="s">
        <v>474</v>
      </c>
      <c r="H12" s="20" t="s">
        <v>475</v>
      </c>
      <c r="I12" s="20" t="s">
        <v>476</v>
      </c>
      <c r="J12" s="20" t="s">
        <v>477</v>
      </c>
      <c r="K12" s="20" t="s">
        <v>63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11.15" hidden="false" customHeight="false" outlineLevel="0" collapsed="false">
      <c r="A13" s="19" t="n">
        <v>12</v>
      </c>
      <c r="B13" s="20" t="s">
        <v>478</v>
      </c>
      <c r="C13" s="21" t="s">
        <v>465</v>
      </c>
      <c r="D13" s="21" t="s">
        <v>479</v>
      </c>
      <c r="E13" s="21" t="s">
        <v>417</v>
      </c>
      <c r="F13" s="21" t="s">
        <v>49</v>
      </c>
      <c r="G13" s="21" t="s">
        <v>480</v>
      </c>
      <c r="H13" s="20" t="s">
        <v>481</v>
      </c>
      <c r="I13" s="20" t="s">
        <v>482</v>
      </c>
      <c r="J13" s="20" t="s">
        <v>483</v>
      </c>
      <c r="K13" s="20" t="s">
        <v>484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79.85" hidden="false" customHeight="false" outlineLevel="0" collapsed="false">
      <c r="A14" s="19" t="n">
        <v>13</v>
      </c>
      <c r="B14" s="20" t="s">
        <v>485</v>
      </c>
      <c r="C14" s="21" t="s">
        <v>465</v>
      </c>
      <c r="D14" s="21" t="s">
        <v>486</v>
      </c>
      <c r="E14" s="21" t="s">
        <v>417</v>
      </c>
      <c r="F14" s="21" t="s">
        <v>49</v>
      </c>
      <c r="G14" s="20" t="s">
        <v>487</v>
      </c>
      <c r="H14" s="20" t="s">
        <v>488</v>
      </c>
      <c r="I14" s="20" t="s">
        <v>489</v>
      </c>
      <c r="J14" s="20" t="s">
        <v>490</v>
      </c>
      <c r="K14" s="20" t="s">
        <v>313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68.65" hidden="false" customHeight="false" outlineLevel="0" collapsed="false">
      <c r="A15" s="19" t="n">
        <v>14</v>
      </c>
      <c r="B15" s="20" t="s">
        <v>491</v>
      </c>
      <c r="C15" s="21" t="s">
        <v>465</v>
      </c>
      <c r="D15" s="21" t="s">
        <v>492</v>
      </c>
      <c r="E15" s="21" t="s">
        <v>417</v>
      </c>
      <c r="F15" s="21" t="s">
        <v>41</v>
      </c>
      <c r="G15" s="21" t="s">
        <v>493</v>
      </c>
      <c r="H15" s="20" t="s">
        <v>494</v>
      </c>
      <c r="I15" s="20" t="s">
        <v>495</v>
      </c>
      <c r="J15" s="20" t="s">
        <v>496</v>
      </c>
      <c r="K15" s="20" t="s">
        <v>45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55.2" hidden="false" customHeight="false" outlineLevel="0" collapsed="false">
      <c r="A16" s="19" t="n">
        <v>15</v>
      </c>
      <c r="B16" s="20" t="s">
        <v>497</v>
      </c>
      <c r="C16" s="21" t="s">
        <v>465</v>
      </c>
      <c r="D16" s="21" t="s">
        <v>498</v>
      </c>
      <c r="E16" s="21" t="s">
        <v>417</v>
      </c>
      <c r="F16" s="21" t="s">
        <v>41</v>
      </c>
      <c r="G16" s="21" t="s">
        <v>499</v>
      </c>
      <c r="H16" s="20" t="s">
        <v>500</v>
      </c>
      <c r="I16" s="20" t="s">
        <v>501</v>
      </c>
      <c r="J16" s="20" t="s">
        <v>238</v>
      </c>
      <c r="K16" s="20" t="s">
        <v>45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79.85" hidden="false" customHeight="false" outlineLevel="0" collapsed="false">
      <c r="A17" s="19" t="n">
        <v>16</v>
      </c>
      <c r="B17" s="20" t="s">
        <v>502</v>
      </c>
      <c r="C17" s="21" t="s">
        <v>503</v>
      </c>
      <c r="D17" s="21" t="s">
        <v>504</v>
      </c>
      <c r="E17" s="21" t="s">
        <v>403</v>
      </c>
      <c r="F17" s="21" t="s">
        <v>49</v>
      </c>
      <c r="G17" s="21" t="s">
        <v>505</v>
      </c>
      <c r="H17" s="20" t="s">
        <v>506</v>
      </c>
      <c r="I17" s="20" t="s">
        <v>507</v>
      </c>
      <c r="J17" s="20" t="s">
        <v>508</v>
      </c>
      <c r="K17" s="20" t="s">
        <v>283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11.15" hidden="false" customHeight="false" outlineLevel="0" collapsed="false">
      <c r="A18" s="19" t="n">
        <v>17</v>
      </c>
      <c r="B18" s="20" t="s">
        <v>509</v>
      </c>
      <c r="C18" s="21" t="s">
        <v>510</v>
      </c>
      <c r="D18" s="21" t="s">
        <v>511</v>
      </c>
      <c r="E18" s="21" t="s">
        <v>417</v>
      </c>
      <c r="F18" s="21" t="s">
        <v>49</v>
      </c>
      <c r="G18" s="21" t="s">
        <v>512</v>
      </c>
      <c r="H18" s="20" t="s">
        <v>513</v>
      </c>
      <c r="I18" s="20" t="s">
        <v>514</v>
      </c>
      <c r="J18" s="20" t="s">
        <v>515</v>
      </c>
      <c r="K18" s="20" t="s">
        <v>516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75.35" hidden="false" customHeight="false" outlineLevel="0" collapsed="false">
      <c r="A19" s="19" t="n">
        <v>18</v>
      </c>
      <c r="B19" s="20" t="s">
        <v>517</v>
      </c>
      <c r="C19" s="21" t="s">
        <v>518</v>
      </c>
      <c r="D19" s="21" t="s">
        <v>519</v>
      </c>
      <c r="E19" s="21" t="s">
        <v>403</v>
      </c>
      <c r="F19" s="21" t="s">
        <v>41</v>
      </c>
      <c r="G19" s="21" t="s">
        <v>520</v>
      </c>
      <c r="H19" s="20" t="s">
        <v>521</v>
      </c>
      <c r="I19" s="20" t="s">
        <v>522</v>
      </c>
      <c r="J19" s="20" t="s">
        <v>523</v>
      </c>
      <c r="K19" s="20" t="s">
        <v>63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88.8" hidden="false" customHeight="false" outlineLevel="0" collapsed="false">
      <c r="A20" s="19" t="n">
        <v>19</v>
      </c>
      <c r="B20" s="20" t="s">
        <v>524</v>
      </c>
      <c r="C20" s="21" t="s">
        <v>525</v>
      </c>
      <c r="D20" s="21" t="s">
        <v>526</v>
      </c>
      <c r="E20" s="21" t="s">
        <v>525</v>
      </c>
      <c r="F20" s="21" t="s">
        <v>49</v>
      </c>
      <c r="G20" s="21" t="s">
        <v>527</v>
      </c>
      <c r="H20" s="20" t="s">
        <v>528</v>
      </c>
      <c r="I20" s="20" t="s">
        <v>529</v>
      </c>
      <c r="J20" s="20" t="s">
        <v>530</v>
      </c>
      <c r="K20" s="20" t="s">
        <v>299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79.85" hidden="false" customHeight="false" outlineLevel="0" collapsed="false">
      <c r="A21" s="19" t="n">
        <v>20</v>
      </c>
      <c r="B21" s="20" t="s">
        <v>531</v>
      </c>
      <c r="C21" s="21" t="s">
        <v>525</v>
      </c>
      <c r="D21" s="21" t="s">
        <v>532</v>
      </c>
      <c r="E21" s="21" t="s">
        <v>525</v>
      </c>
      <c r="F21" s="21" t="s">
        <v>49</v>
      </c>
      <c r="G21" s="21" t="s">
        <v>533</v>
      </c>
      <c r="H21" s="21" t="s">
        <v>534</v>
      </c>
      <c r="I21" s="20" t="s">
        <v>535</v>
      </c>
      <c r="J21" s="20" t="s">
        <v>407</v>
      </c>
      <c r="K21" s="20" t="s">
        <v>45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64.15" hidden="false" customHeight="false" outlineLevel="0" collapsed="false">
      <c r="A22" s="19" t="n">
        <v>21</v>
      </c>
      <c r="B22" s="20" t="s">
        <v>536</v>
      </c>
      <c r="C22" s="21" t="s">
        <v>537</v>
      </c>
      <c r="D22" s="21" t="s">
        <v>538</v>
      </c>
      <c r="E22" s="21" t="s">
        <v>403</v>
      </c>
      <c r="F22" s="21" t="s">
        <v>49</v>
      </c>
      <c r="G22" s="21" t="s">
        <v>539</v>
      </c>
      <c r="H22" s="20" t="s">
        <v>540</v>
      </c>
      <c r="I22" s="20" t="s">
        <v>541</v>
      </c>
      <c r="J22" s="20" t="s">
        <v>542</v>
      </c>
      <c r="K22" s="20" t="s">
        <v>543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35.8" hidden="false" customHeight="false" outlineLevel="0" collapsed="false">
      <c r="A23" s="19" t="n">
        <v>22</v>
      </c>
      <c r="B23" s="20" t="s">
        <v>544</v>
      </c>
      <c r="C23" s="21" t="s">
        <v>545</v>
      </c>
      <c r="D23" s="20" t="s">
        <v>546</v>
      </c>
      <c r="E23" s="21" t="s">
        <v>547</v>
      </c>
      <c r="F23" s="21" t="s">
        <v>49</v>
      </c>
      <c r="G23" s="21" t="s">
        <v>548</v>
      </c>
      <c r="H23" s="20" t="s">
        <v>549</v>
      </c>
      <c r="I23" s="20" t="s">
        <v>45</v>
      </c>
      <c r="J23" s="20" t="s">
        <v>550</v>
      </c>
      <c r="K23" s="20" t="s">
        <v>45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79.85" hidden="false" customHeight="false" outlineLevel="0" collapsed="false">
      <c r="A24" s="19" t="n">
        <v>23</v>
      </c>
      <c r="B24" s="20" t="s">
        <v>551</v>
      </c>
      <c r="C24" s="21" t="s">
        <v>545</v>
      </c>
      <c r="D24" s="21" t="s">
        <v>552</v>
      </c>
      <c r="E24" s="21" t="s">
        <v>547</v>
      </c>
      <c r="F24" s="21" t="s">
        <v>49</v>
      </c>
      <c r="G24" s="21" t="s">
        <v>553</v>
      </c>
      <c r="H24" s="21" t="s">
        <v>554</v>
      </c>
      <c r="I24" s="20" t="s">
        <v>45</v>
      </c>
      <c r="J24" s="20" t="s">
        <v>555</v>
      </c>
      <c r="K24" s="20" t="s">
        <v>45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05.2" hidden="false" customHeight="false" outlineLevel="0" collapsed="false">
      <c r="A25" s="19" t="n">
        <v>24</v>
      </c>
      <c r="B25" s="20" t="s">
        <v>556</v>
      </c>
      <c r="C25" s="21" t="s">
        <v>545</v>
      </c>
      <c r="D25" s="20" t="s">
        <v>557</v>
      </c>
      <c r="E25" s="21" t="s">
        <v>547</v>
      </c>
      <c r="F25" s="21" t="s">
        <v>49</v>
      </c>
      <c r="G25" s="21" t="s">
        <v>558</v>
      </c>
      <c r="H25" s="21" t="s">
        <v>559</v>
      </c>
      <c r="I25" s="20" t="s">
        <v>560</v>
      </c>
      <c r="J25" s="20" t="s">
        <v>561</v>
      </c>
      <c r="K25" s="20" t="s">
        <v>562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11.15" hidden="false" customHeight="false" outlineLevel="0" collapsed="false">
      <c r="A26" s="19" t="n">
        <v>25</v>
      </c>
      <c r="B26" s="20" t="s">
        <v>563</v>
      </c>
      <c r="C26" s="21" t="s">
        <v>545</v>
      </c>
      <c r="D26" s="20" t="s">
        <v>564</v>
      </c>
      <c r="E26" s="21" t="s">
        <v>547</v>
      </c>
      <c r="F26" s="21" t="s">
        <v>49</v>
      </c>
      <c r="G26" s="20" t="s">
        <v>565</v>
      </c>
      <c r="H26" s="20" t="s">
        <v>566</v>
      </c>
      <c r="I26" s="20" t="s">
        <v>45</v>
      </c>
      <c r="J26" s="20" t="s">
        <v>567</v>
      </c>
      <c r="K26" s="20" t="s">
        <v>366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79.85" hidden="false" customHeight="false" outlineLevel="0" collapsed="false">
      <c r="A27" s="22" t="n">
        <v>26</v>
      </c>
      <c r="B27" s="23" t="s">
        <v>568</v>
      </c>
      <c r="C27" s="23" t="s">
        <v>385</v>
      </c>
      <c r="D27" s="24" t="s">
        <v>569</v>
      </c>
      <c r="E27" s="24" t="s">
        <v>387</v>
      </c>
      <c r="F27" s="24" t="s">
        <v>387</v>
      </c>
      <c r="G27" s="24" t="s">
        <v>570</v>
      </c>
      <c r="H27" s="24" t="s">
        <v>571</v>
      </c>
      <c r="I27" s="23" t="s">
        <v>45</v>
      </c>
      <c r="J27" s="23" t="s">
        <v>572</v>
      </c>
      <c r="K27" s="23" t="s">
        <v>45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48.5" hidden="false" customHeight="false" outlineLevel="0" collapsed="false">
      <c r="A28" s="22" t="n">
        <v>27</v>
      </c>
      <c r="B28" s="23" t="s">
        <v>573</v>
      </c>
      <c r="C28" s="23" t="s">
        <v>385</v>
      </c>
      <c r="D28" s="24" t="s">
        <v>574</v>
      </c>
      <c r="E28" s="24" t="s">
        <v>387</v>
      </c>
      <c r="F28" s="24" t="s">
        <v>387</v>
      </c>
      <c r="G28" s="23" t="s">
        <v>575</v>
      </c>
      <c r="H28" s="24" t="s">
        <v>576</v>
      </c>
      <c r="I28" s="23" t="s">
        <v>45</v>
      </c>
      <c r="J28" s="23" t="s">
        <v>430</v>
      </c>
      <c r="K28" s="23" t="s">
        <v>45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48.5" hidden="false" customHeight="false" outlineLevel="0" collapsed="false">
      <c r="A29" s="22" t="n">
        <v>28</v>
      </c>
      <c r="B29" s="23" t="s">
        <v>577</v>
      </c>
      <c r="C29" s="23" t="s">
        <v>385</v>
      </c>
      <c r="D29" s="24" t="s">
        <v>578</v>
      </c>
      <c r="E29" s="24" t="s">
        <v>387</v>
      </c>
      <c r="F29" s="24" t="s">
        <v>387</v>
      </c>
      <c r="G29" s="24" t="s">
        <v>579</v>
      </c>
      <c r="H29" s="24" t="s">
        <v>580</v>
      </c>
      <c r="I29" s="23" t="s">
        <v>45</v>
      </c>
      <c r="J29" s="23" t="s">
        <v>400</v>
      </c>
      <c r="K29" s="23" t="s">
        <v>45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48.5" hidden="false" customHeight="false" outlineLevel="0" collapsed="false">
      <c r="A30" s="22" t="n">
        <v>29</v>
      </c>
      <c r="B30" s="23" t="s">
        <v>581</v>
      </c>
      <c r="C30" s="23" t="s">
        <v>582</v>
      </c>
      <c r="D30" s="24" t="s">
        <v>583</v>
      </c>
      <c r="E30" s="24" t="s">
        <v>584</v>
      </c>
      <c r="F30" s="24" t="s">
        <v>584</v>
      </c>
      <c r="G30" s="23" t="s">
        <v>585</v>
      </c>
      <c r="H30" s="23" t="s">
        <v>586</v>
      </c>
      <c r="I30" s="23" t="s">
        <v>45</v>
      </c>
      <c r="J30" s="23" t="s">
        <v>45</v>
      </c>
      <c r="K30" s="23" t="s">
        <v>587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5" min="3" style="0" width="34"/>
    <col collapsed="false" customWidth="true" hidden="false" outlineLevel="0" max="26" min="6" style="0" width="8.71"/>
  </cols>
  <sheetData>
    <row r="1" customFormat="false" ht="15.75" hidden="false" customHeight="true" outlineLevel="0" collapsed="false">
      <c r="A1" s="25" t="s">
        <v>588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26" t="s">
        <v>589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27" t="s">
        <v>590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15" t="s">
        <v>591</v>
      </c>
      <c r="B5" s="15" t="s">
        <v>592</v>
      </c>
      <c r="C5" s="15" t="s">
        <v>593</v>
      </c>
      <c r="D5" s="15" t="s">
        <v>594</v>
      </c>
      <c r="E5" s="15" t="s">
        <v>595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21" t="s">
        <v>596</v>
      </c>
      <c r="B6" s="21" t="s">
        <v>597</v>
      </c>
      <c r="C6" s="21" t="s">
        <v>598</v>
      </c>
      <c r="D6" s="21" t="s">
        <v>599</v>
      </c>
      <c r="E6" s="20" t="s">
        <v>600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21" t="s">
        <v>601</v>
      </c>
      <c r="B7" s="20" t="s">
        <v>602</v>
      </c>
      <c r="C7" s="21" t="s">
        <v>603</v>
      </c>
      <c r="D7" s="21" t="s">
        <v>604</v>
      </c>
      <c r="E7" s="20" t="s">
        <v>605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18" t="s">
        <v>100</v>
      </c>
      <c r="B8" s="18" t="s">
        <v>606</v>
      </c>
      <c r="C8" s="18" t="s">
        <v>607</v>
      </c>
      <c r="D8" s="18" t="s">
        <v>608</v>
      </c>
      <c r="E8" s="18" t="s">
        <v>609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21" t="s">
        <v>610</v>
      </c>
      <c r="B9" s="21" t="s">
        <v>611</v>
      </c>
      <c r="C9" s="20" t="s">
        <v>612</v>
      </c>
      <c r="D9" s="21" t="s">
        <v>613</v>
      </c>
      <c r="E9" s="20" t="s">
        <v>614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18" t="s">
        <v>117</v>
      </c>
      <c r="B10" s="17" t="s">
        <v>615</v>
      </c>
      <c r="C10" s="18" t="s">
        <v>616</v>
      </c>
      <c r="D10" s="18" t="s">
        <v>617</v>
      </c>
      <c r="E10" s="17" t="s">
        <v>618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21" t="s">
        <v>619</v>
      </c>
      <c r="B11" s="21" t="s">
        <v>620</v>
      </c>
      <c r="C11" s="21" t="s">
        <v>621</v>
      </c>
      <c r="D11" s="21" t="s">
        <v>622</v>
      </c>
      <c r="E11" s="20" t="s">
        <v>623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21" t="s">
        <v>624</v>
      </c>
      <c r="B12" s="21" t="s">
        <v>625</v>
      </c>
      <c r="C12" s="21" t="s">
        <v>626</v>
      </c>
      <c r="D12" s="21" t="s">
        <v>627</v>
      </c>
      <c r="E12" s="20" t="s">
        <v>628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21" t="s">
        <v>629</v>
      </c>
      <c r="B13" s="21" t="s">
        <v>630</v>
      </c>
      <c r="C13" s="21" t="s">
        <v>631</v>
      </c>
      <c r="D13" s="21" t="s">
        <v>632</v>
      </c>
      <c r="E13" s="20" t="s">
        <v>633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18" t="s">
        <v>151</v>
      </c>
      <c r="B14" s="18" t="s">
        <v>634</v>
      </c>
      <c r="C14" s="18" t="s">
        <v>635</v>
      </c>
      <c r="D14" s="18" t="s">
        <v>636</v>
      </c>
      <c r="E14" s="17" t="s">
        <v>637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18" t="s">
        <v>638</v>
      </c>
      <c r="B15" s="17" t="s">
        <v>639</v>
      </c>
      <c r="C15" s="18" t="s">
        <v>640</v>
      </c>
      <c r="D15" s="18" t="s">
        <v>641</v>
      </c>
      <c r="E15" s="17" t="s">
        <v>642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21" t="s">
        <v>643</v>
      </c>
      <c r="B16" s="21" t="s">
        <v>644</v>
      </c>
      <c r="C16" s="21" t="s">
        <v>645</v>
      </c>
      <c r="D16" s="21" t="s">
        <v>646</v>
      </c>
      <c r="E16" s="20" t="s">
        <v>647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18" t="s">
        <v>648</v>
      </c>
      <c r="B17" s="18" t="s">
        <v>649</v>
      </c>
      <c r="C17" s="17" t="s">
        <v>650</v>
      </c>
      <c r="D17" s="18" t="s">
        <v>651</v>
      </c>
      <c r="E17" s="17" t="s">
        <v>652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18" t="s">
        <v>653</v>
      </c>
      <c r="B18" s="18" t="s">
        <v>654</v>
      </c>
      <c r="C18" s="17" t="s">
        <v>655</v>
      </c>
      <c r="D18" s="18" t="s">
        <v>656</v>
      </c>
      <c r="E18" s="17" t="s">
        <v>657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27" t="s">
        <v>658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15" t="s">
        <v>659</v>
      </c>
      <c r="B21" s="15" t="s">
        <v>660</v>
      </c>
      <c r="C21" s="15" t="s">
        <v>661</v>
      </c>
      <c r="D21" s="15" t="s">
        <v>662</v>
      </c>
      <c r="E21" s="15" t="s">
        <v>595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18" t="s">
        <v>663</v>
      </c>
      <c r="B22" s="17" t="s">
        <v>664</v>
      </c>
      <c r="C22" s="18" t="s">
        <v>665</v>
      </c>
      <c r="D22" s="17" t="s">
        <v>666</v>
      </c>
      <c r="E22" s="17" t="s">
        <v>667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18" t="s">
        <v>668</v>
      </c>
      <c r="B23" s="17" t="s">
        <v>669</v>
      </c>
      <c r="C23" s="18" t="s">
        <v>670</v>
      </c>
      <c r="D23" s="18" t="s">
        <v>671</v>
      </c>
      <c r="E23" s="18" t="s">
        <v>672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1" t="s">
        <v>673</v>
      </c>
      <c r="B24" s="21" t="s">
        <v>674</v>
      </c>
      <c r="C24" s="21" t="s">
        <v>675</v>
      </c>
      <c r="D24" s="20" t="s">
        <v>676</v>
      </c>
      <c r="E24" s="20" t="s">
        <v>677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1" t="s">
        <v>678</v>
      </c>
      <c r="B25" s="20" t="s">
        <v>679</v>
      </c>
      <c r="C25" s="21" t="s">
        <v>675</v>
      </c>
      <c r="D25" s="20" t="s">
        <v>63</v>
      </c>
      <c r="E25" s="20" t="s">
        <v>680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1" t="s">
        <v>681</v>
      </c>
      <c r="B26" s="20" t="s">
        <v>682</v>
      </c>
      <c r="C26" s="21" t="s">
        <v>670</v>
      </c>
      <c r="D26" s="21" t="s">
        <v>683</v>
      </c>
      <c r="E26" s="21" t="s">
        <v>684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1" t="s">
        <v>685</v>
      </c>
      <c r="B27" s="20" t="s">
        <v>686</v>
      </c>
      <c r="C27" s="21" t="s">
        <v>675</v>
      </c>
      <c r="D27" s="20" t="s">
        <v>196</v>
      </c>
      <c r="E27" s="20" t="s">
        <v>687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18" t="s">
        <v>688</v>
      </c>
      <c r="B28" s="18" t="s">
        <v>689</v>
      </c>
      <c r="C28" s="18" t="s">
        <v>675</v>
      </c>
      <c r="D28" s="17" t="s">
        <v>690</v>
      </c>
      <c r="E28" s="18" t="s">
        <v>691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1" t="s">
        <v>692</v>
      </c>
      <c r="B29" s="20" t="s">
        <v>693</v>
      </c>
      <c r="C29" s="21" t="s">
        <v>694</v>
      </c>
      <c r="D29" s="21" t="s">
        <v>695</v>
      </c>
      <c r="E29" s="21" t="s">
        <v>696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7" t="s">
        <v>697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15" t="s">
        <v>698</v>
      </c>
      <c r="B32" s="15" t="s">
        <v>699</v>
      </c>
      <c r="C32" s="15" t="s">
        <v>700</v>
      </c>
      <c r="D32" s="15" t="s">
        <v>701</v>
      </c>
      <c r="E32" s="15" t="s">
        <v>595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18" t="s">
        <v>702</v>
      </c>
      <c r="B33" s="17" t="s">
        <v>703</v>
      </c>
      <c r="C33" s="18" t="s">
        <v>704</v>
      </c>
      <c r="D33" s="18" t="s">
        <v>705</v>
      </c>
      <c r="E33" s="17" t="s">
        <v>706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1" t="s">
        <v>707</v>
      </c>
      <c r="B34" s="20" t="s">
        <v>708</v>
      </c>
      <c r="C34" s="21" t="s">
        <v>709</v>
      </c>
      <c r="D34" s="21" t="s">
        <v>710</v>
      </c>
      <c r="E34" s="21" t="s">
        <v>711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1" t="s">
        <v>712</v>
      </c>
      <c r="B35" s="21" t="s">
        <v>713</v>
      </c>
      <c r="C35" s="21" t="s">
        <v>714</v>
      </c>
      <c r="D35" s="20" t="s">
        <v>189</v>
      </c>
      <c r="E35" s="21" t="s">
        <v>715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1" t="s">
        <v>716</v>
      </c>
      <c r="B36" s="20" t="s">
        <v>717</v>
      </c>
      <c r="C36" s="21" t="s">
        <v>675</v>
      </c>
      <c r="D36" s="20" t="s">
        <v>204</v>
      </c>
      <c r="E36" s="21" t="s">
        <v>718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7" t="s">
        <v>719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15" t="s">
        <v>720</v>
      </c>
      <c r="B39" s="15" t="s">
        <v>721</v>
      </c>
      <c r="C39" s="15" t="s">
        <v>722</v>
      </c>
      <c r="D39" s="15" t="s">
        <v>723</v>
      </c>
      <c r="E39" s="15" t="s">
        <v>595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18" t="s">
        <v>724</v>
      </c>
      <c r="B40" s="18" t="s">
        <v>725</v>
      </c>
      <c r="C40" s="18" t="s">
        <v>726</v>
      </c>
      <c r="D40" s="18" t="s">
        <v>727</v>
      </c>
      <c r="E40" s="17" t="s">
        <v>728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18" t="s">
        <v>729</v>
      </c>
      <c r="B41" s="18" t="s">
        <v>730</v>
      </c>
      <c r="C41" s="17" t="s">
        <v>731</v>
      </c>
      <c r="D41" s="18" t="s">
        <v>732</v>
      </c>
      <c r="E41" s="17" t="s">
        <v>733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1" t="s">
        <v>734</v>
      </c>
      <c r="B42" s="20" t="s">
        <v>735</v>
      </c>
      <c r="C42" s="21" t="s">
        <v>736</v>
      </c>
      <c r="D42" s="21" t="s">
        <v>737</v>
      </c>
      <c r="E42" s="21" t="s">
        <v>738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8" t="s">
        <v>739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15" t="s">
        <v>1</v>
      </c>
      <c r="B45" s="15" t="s">
        <v>740</v>
      </c>
      <c r="C45" s="15" t="s">
        <v>741</v>
      </c>
      <c r="D45" s="15" t="s">
        <v>742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1" t="s">
        <v>743</v>
      </c>
      <c r="B46" s="21" t="s">
        <v>744</v>
      </c>
      <c r="C46" s="21" t="s">
        <v>745</v>
      </c>
      <c r="D46" s="21" t="s">
        <v>746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1" t="s">
        <v>401</v>
      </c>
      <c r="B47" s="21" t="s">
        <v>747</v>
      </c>
      <c r="C47" s="21" t="s">
        <v>748</v>
      </c>
      <c r="D47" s="20" t="s">
        <v>749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1" t="s">
        <v>424</v>
      </c>
      <c r="B48" s="21" t="s">
        <v>750</v>
      </c>
      <c r="C48" s="20" t="s">
        <v>45</v>
      </c>
      <c r="D48" s="20" t="s">
        <v>751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1" t="s">
        <v>752</v>
      </c>
      <c r="B49" s="21" t="s">
        <v>753</v>
      </c>
      <c r="C49" s="20" t="s">
        <v>754</v>
      </c>
      <c r="D49" s="20" t="s">
        <v>755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1" t="s">
        <v>756</v>
      </c>
      <c r="B50" s="21" t="s">
        <v>757</v>
      </c>
      <c r="C50" s="21" t="s">
        <v>758</v>
      </c>
      <c r="D50" s="20" t="s">
        <v>759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1" t="s">
        <v>624</v>
      </c>
      <c r="B51" s="21" t="s">
        <v>760</v>
      </c>
      <c r="C51" s="20" t="s">
        <v>45</v>
      </c>
      <c r="D51" s="20" t="s">
        <v>761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1" t="s">
        <v>762</v>
      </c>
      <c r="B52" s="21" t="s">
        <v>763</v>
      </c>
      <c r="C52" s="20" t="s">
        <v>764</v>
      </c>
      <c r="D52" s="20" t="s">
        <v>765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1" t="s">
        <v>766</v>
      </c>
      <c r="B53" s="21" t="s">
        <v>767</v>
      </c>
      <c r="C53" s="20" t="s">
        <v>45</v>
      </c>
      <c r="D53" s="20" t="s">
        <v>768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1" t="s">
        <v>769</v>
      </c>
      <c r="B54" s="21" t="s">
        <v>770</v>
      </c>
      <c r="C54" s="20" t="s">
        <v>771</v>
      </c>
      <c r="D54" s="20" t="s">
        <v>268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1" t="s">
        <v>772</v>
      </c>
      <c r="B55" s="21" t="s">
        <v>773</v>
      </c>
      <c r="C55" s="20" t="s">
        <v>774</v>
      </c>
      <c r="D55" s="20" t="s">
        <v>775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1" t="s">
        <v>776</v>
      </c>
      <c r="B56" s="21" t="s">
        <v>777</v>
      </c>
      <c r="C56" s="20" t="s">
        <v>778</v>
      </c>
      <c r="D56" s="20" t="s">
        <v>779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1" t="s">
        <v>776</v>
      </c>
      <c r="B57" s="21" t="s">
        <v>780</v>
      </c>
      <c r="C57" s="20" t="s">
        <v>781</v>
      </c>
      <c r="D57" s="20" t="s">
        <v>782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1" t="s">
        <v>783</v>
      </c>
      <c r="B58" s="21" t="s">
        <v>784</v>
      </c>
      <c r="C58" s="20" t="s">
        <v>785</v>
      </c>
      <c r="D58" s="20" t="s">
        <v>581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8" t="s">
        <v>786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14" t="s">
        <v>787</v>
      </c>
      <c r="B61" s="14" t="s">
        <v>788</v>
      </c>
      <c r="C61" s="15" t="s">
        <v>789</v>
      </c>
      <c r="D61" s="15" t="s">
        <v>595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18" t="s">
        <v>790</v>
      </c>
      <c r="B62" s="18" t="s">
        <v>791</v>
      </c>
      <c r="C62" s="18" t="s">
        <v>792</v>
      </c>
      <c r="D62" s="18" t="s">
        <v>793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1" t="s">
        <v>794</v>
      </c>
      <c r="B63" s="21" t="s">
        <v>795</v>
      </c>
      <c r="C63" s="21" t="s">
        <v>796</v>
      </c>
      <c r="D63" s="20" t="s">
        <v>797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18" t="s">
        <v>798</v>
      </c>
      <c r="B64" s="18" t="s">
        <v>799</v>
      </c>
      <c r="C64" s="18" t="s">
        <v>796</v>
      </c>
      <c r="D64" s="17" t="s">
        <v>800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18" t="s">
        <v>801</v>
      </c>
      <c r="B65" s="18" t="s">
        <v>802</v>
      </c>
      <c r="C65" s="18" t="s">
        <v>796</v>
      </c>
      <c r="D65" s="18" t="s">
        <v>803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1" t="s">
        <v>108</v>
      </c>
      <c r="B66" s="21" t="s">
        <v>804</v>
      </c>
      <c r="C66" s="21" t="s">
        <v>796</v>
      </c>
      <c r="D66" s="20" t="s">
        <v>805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1" t="s">
        <v>806</v>
      </c>
      <c r="B67" s="20" t="s">
        <v>807</v>
      </c>
      <c r="C67" s="21" t="s">
        <v>796</v>
      </c>
      <c r="D67" s="20" t="s">
        <v>808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1" t="s">
        <v>809</v>
      </c>
      <c r="B68" s="21" t="s">
        <v>810</v>
      </c>
      <c r="C68" s="21" t="s">
        <v>792</v>
      </c>
      <c r="D68" s="20" t="s">
        <v>797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1" t="s">
        <v>811</v>
      </c>
      <c r="B69" s="20" t="s">
        <v>812</v>
      </c>
      <c r="C69" s="21" t="s">
        <v>792</v>
      </c>
      <c r="D69" s="20" t="s">
        <v>813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17" t="s">
        <v>814</v>
      </c>
      <c r="B70" s="18" t="s">
        <v>815</v>
      </c>
      <c r="C70" s="18" t="s">
        <v>816</v>
      </c>
      <c r="D70" s="18" t="s">
        <v>817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18" t="s">
        <v>818</v>
      </c>
      <c r="B71" s="18" t="s">
        <v>819</v>
      </c>
      <c r="C71" s="18" t="s">
        <v>792</v>
      </c>
      <c r="D71" s="17" t="s">
        <v>820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1" t="s">
        <v>330</v>
      </c>
      <c r="B72" s="21" t="s">
        <v>795</v>
      </c>
      <c r="C72" s="21" t="s">
        <v>796</v>
      </c>
      <c r="D72" s="20" t="s">
        <v>797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1" t="s">
        <v>338</v>
      </c>
      <c r="B73" s="21" t="s">
        <v>821</v>
      </c>
      <c r="C73" s="21" t="s">
        <v>796</v>
      </c>
      <c r="D73" s="20" t="s">
        <v>797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6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26" min="8" style="0" width="8.71"/>
  </cols>
  <sheetData>
    <row r="1" customFormat="false" ht="15.75" hidden="false" customHeight="true" outlineLevel="0" collapsed="false">
      <c r="A1" s="15" t="s">
        <v>822</v>
      </c>
      <c r="B1" s="15" t="s">
        <v>823</v>
      </c>
      <c r="C1" s="14" t="s">
        <v>824</v>
      </c>
      <c r="D1" s="15" t="s">
        <v>825</v>
      </c>
      <c r="E1" s="15" t="s">
        <v>826</v>
      </c>
      <c r="F1" s="15" t="s">
        <v>37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17" t="s">
        <v>827</v>
      </c>
      <c r="B2" s="18" t="s">
        <v>40</v>
      </c>
      <c r="C2" s="18" t="s">
        <v>828</v>
      </c>
      <c r="D2" s="18" t="s">
        <v>829</v>
      </c>
      <c r="E2" s="18" t="s">
        <v>830</v>
      </c>
      <c r="F2" s="17" t="s">
        <v>45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20" t="s">
        <v>827</v>
      </c>
      <c r="B3" s="21" t="s">
        <v>831</v>
      </c>
      <c r="C3" s="21" t="s">
        <v>795</v>
      </c>
      <c r="D3" s="21" t="s">
        <v>670</v>
      </c>
      <c r="E3" s="21" t="s">
        <v>832</v>
      </c>
      <c r="F3" s="20" t="s">
        <v>54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20" t="s">
        <v>827</v>
      </c>
      <c r="B4" s="21" t="s">
        <v>56</v>
      </c>
      <c r="C4" s="20" t="s">
        <v>833</v>
      </c>
      <c r="D4" s="21" t="s">
        <v>834</v>
      </c>
      <c r="E4" s="21" t="s">
        <v>835</v>
      </c>
      <c r="F4" s="20" t="s">
        <v>63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17" t="s">
        <v>827</v>
      </c>
      <c r="B5" s="18" t="s">
        <v>65</v>
      </c>
      <c r="C5" s="18" t="s">
        <v>836</v>
      </c>
      <c r="D5" s="18" t="s">
        <v>829</v>
      </c>
      <c r="E5" s="18" t="s">
        <v>837</v>
      </c>
      <c r="F5" s="17" t="s">
        <v>45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17" t="s">
        <v>827</v>
      </c>
      <c r="B6" s="18" t="s">
        <v>70</v>
      </c>
      <c r="C6" s="18" t="s">
        <v>838</v>
      </c>
      <c r="D6" s="18" t="s">
        <v>829</v>
      </c>
      <c r="E6" s="18" t="s">
        <v>839</v>
      </c>
      <c r="F6" s="17" t="s">
        <v>45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17" t="s">
        <v>827</v>
      </c>
      <c r="B7" s="18" t="s">
        <v>76</v>
      </c>
      <c r="C7" s="17" t="s">
        <v>840</v>
      </c>
      <c r="D7" s="18" t="s">
        <v>841</v>
      </c>
      <c r="E7" s="18" t="s">
        <v>842</v>
      </c>
      <c r="F7" s="17" t="s">
        <v>82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0" t="s">
        <v>827</v>
      </c>
      <c r="B8" s="21" t="s">
        <v>843</v>
      </c>
      <c r="C8" s="21" t="s">
        <v>795</v>
      </c>
      <c r="D8" s="21" t="s">
        <v>670</v>
      </c>
      <c r="E8" s="21" t="s">
        <v>844</v>
      </c>
      <c r="F8" s="20" t="s">
        <v>845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20" t="s">
        <v>827</v>
      </c>
      <c r="B9" s="21" t="s">
        <v>846</v>
      </c>
      <c r="C9" s="20" t="s">
        <v>847</v>
      </c>
      <c r="D9" s="21" t="s">
        <v>670</v>
      </c>
      <c r="E9" s="21" t="s">
        <v>848</v>
      </c>
      <c r="F9" s="20" t="s">
        <v>45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17" t="s">
        <v>849</v>
      </c>
      <c r="B10" s="18" t="s">
        <v>850</v>
      </c>
      <c r="C10" s="18" t="s">
        <v>851</v>
      </c>
      <c r="D10" s="18" t="s">
        <v>852</v>
      </c>
      <c r="E10" s="18" t="s">
        <v>853</v>
      </c>
      <c r="F10" s="17" t="s">
        <v>106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20" t="s">
        <v>849</v>
      </c>
      <c r="B11" s="21" t="s">
        <v>854</v>
      </c>
      <c r="C11" s="21" t="s">
        <v>855</v>
      </c>
      <c r="D11" s="21" t="s">
        <v>670</v>
      </c>
      <c r="E11" s="20" t="s">
        <v>856</v>
      </c>
      <c r="F11" s="20" t="s">
        <v>857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20" t="s">
        <v>858</v>
      </c>
      <c r="B12" s="21" t="s">
        <v>117</v>
      </c>
      <c r="C12" s="20" t="s">
        <v>859</v>
      </c>
      <c r="D12" s="21" t="s">
        <v>860</v>
      </c>
      <c r="E12" s="21" t="s">
        <v>861</v>
      </c>
      <c r="F12" s="20" t="s">
        <v>123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20" t="s">
        <v>858</v>
      </c>
      <c r="B13" s="21" t="s">
        <v>862</v>
      </c>
      <c r="C13" s="21" t="s">
        <v>795</v>
      </c>
      <c r="D13" s="21" t="s">
        <v>863</v>
      </c>
      <c r="E13" s="21" t="s">
        <v>864</v>
      </c>
      <c r="F13" s="20" t="s">
        <v>131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17" t="s">
        <v>865</v>
      </c>
      <c r="B14" s="18" t="s">
        <v>866</v>
      </c>
      <c r="C14" s="18" t="s">
        <v>867</v>
      </c>
      <c r="D14" s="18" t="s">
        <v>868</v>
      </c>
      <c r="E14" s="18" t="s">
        <v>869</v>
      </c>
      <c r="F14" s="17" t="s">
        <v>140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20" t="s">
        <v>865</v>
      </c>
      <c r="B15" s="21" t="s">
        <v>870</v>
      </c>
      <c r="C15" s="20" t="s">
        <v>871</v>
      </c>
      <c r="D15" s="21" t="s">
        <v>670</v>
      </c>
      <c r="E15" s="21" t="s">
        <v>872</v>
      </c>
      <c r="F15" s="20" t="s">
        <v>873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20" t="s">
        <v>874</v>
      </c>
      <c r="B16" s="21" t="s">
        <v>875</v>
      </c>
      <c r="C16" s="21" t="s">
        <v>876</v>
      </c>
      <c r="D16" s="21" t="s">
        <v>877</v>
      </c>
      <c r="E16" s="21" t="s">
        <v>878</v>
      </c>
      <c r="F16" s="20" t="s">
        <v>157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17" t="s">
        <v>879</v>
      </c>
      <c r="B17" s="18" t="s">
        <v>880</v>
      </c>
      <c r="C17" s="18" t="s">
        <v>881</v>
      </c>
      <c r="D17" s="18" t="s">
        <v>882</v>
      </c>
      <c r="E17" s="18" t="s">
        <v>883</v>
      </c>
      <c r="F17" s="17" t="s">
        <v>166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17" t="s">
        <v>879</v>
      </c>
      <c r="B18" s="18" t="s">
        <v>884</v>
      </c>
      <c r="C18" s="18" t="s">
        <v>795</v>
      </c>
      <c r="D18" s="18" t="s">
        <v>670</v>
      </c>
      <c r="E18" s="17" t="s">
        <v>45</v>
      </c>
      <c r="F18" s="17" t="s">
        <v>45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17" t="s">
        <v>885</v>
      </c>
      <c r="B19" s="18" t="s">
        <v>176</v>
      </c>
      <c r="C19" s="18" t="s">
        <v>886</v>
      </c>
      <c r="D19" s="18" t="s">
        <v>887</v>
      </c>
      <c r="E19" s="18" t="s">
        <v>888</v>
      </c>
      <c r="F19" s="17" t="s">
        <v>45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20" t="s">
        <v>889</v>
      </c>
      <c r="B20" s="21" t="s">
        <v>183</v>
      </c>
      <c r="C20" s="21" t="s">
        <v>890</v>
      </c>
      <c r="D20" s="21" t="s">
        <v>891</v>
      </c>
      <c r="E20" s="21" t="s">
        <v>892</v>
      </c>
      <c r="F20" s="20" t="s">
        <v>54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0" t="s">
        <v>889</v>
      </c>
      <c r="B21" s="21" t="s">
        <v>893</v>
      </c>
      <c r="C21" s="21" t="s">
        <v>894</v>
      </c>
      <c r="D21" s="21" t="s">
        <v>670</v>
      </c>
      <c r="E21" s="21" t="s">
        <v>895</v>
      </c>
      <c r="F21" s="20" t="s">
        <v>196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0" t="s">
        <v>889</v>
      </c>
      <c r="B22" s="21" t="s">
        <v>896</v>
      </c>
      <c r="C22" s="21" t="s">
        <v>795</v>
      </c>
      <c r="D22" s="21" t="s">
        <v>670</v>
      </c>
      <c r="E22" s="21" t="s">
        <v>897</v>
      </c>
      <c r="F22" s="20" t="s">
        <v>204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17" t="s">
        <v>898</v>
      </c>
      <c r="B23" s="18" t="s">
        <v>207</v>
      </c>
      <c r="C23" s="18" t="s">
        <v>899</v>
      </c>
      <c r="D23" s="18" t="s">
        <v>900</v>
      </c>
      <c r="E23" s="18" t="s">
        <v>901</v>
      </c>
      <c r="F23" s="17" t="s">
        <v>211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17" t="s">
        <v>902</v>
      </c>
      <c r="B24" s="18" t="s">
        <v>903</v>
      </c>
      <c r="C24" s="18" t="s">
        <v>904</v>
      </c>
      <c r="D24" s="18" t="s">
        <v>829</v>
      </c>
      <c r="E24" s="17" t="s">
        <v>45</v>
      </c>
      <c r="F24" s="17" t="s">
        <v>45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17" t="s">
        <v>902</v>
      </c>
      <c r="B25" s="18" t="s">
        <v>220</v>
      </c>
      <c r="C25" s="18" t="s">
        <v>905</v>
      </c>
      <c r="D25" s="18" t="s">
        <v>906</v>
      </c>
      <c r="E25" s="18" t="s">
        <v>907</v>
      </c>
      <c r="F25" s="17" t="s">
        <v>45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17" t="s">
        <v>902</v>
      </c>
      <c r="B26" s="18" t="s">
        <v>227</v>
      </c>
      <c r="C26" s="18" t="s">
        <v>908</v>
      </c>
      <c r="D26" s="18" t="s">
        <v>829</v>
      </c>
      <c r="E26" s="18" t="s">
        <v>909</v>
      </c>
      <c r="F26" s="17" t="s">
        <v>233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17" t="s">
        <v>902</v>
      </c>
      <c r="B27" s="18" t="s">
        <v>910</v>
      </c>
      <c r="C27" s="18" t="s">
        <v>911</v>
      </c>
      <c r="D27" s="18" t="s">
        <v>912</v>
      </c>
      <c r="E27" s="18" t="s">
        <v>913</v>
      </c>
      <c r="F27" s="17" t="s">
        <v>45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17" t="s">
        <v>902</v>
      </c>
      <c r="B28" s="18" t="s">
        <v>914</v>
      </c>
      <c r="C28" s="18" t="s">
        <v>915</v>
      </c>
      <c r="D28" s="18" t="s">
        <v>829</v>
      </c>
      <c r="E28" s="18" t="s">
        <v>916</v>
      </c>
      <c r="F28" s="17" t="s">
        <v>196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17" t="s">
        <v>902</v>
      </c>
      <c r="B29" s="18" t="s">
        <v>247</v>
      </c>
      <c r="C29" s="18" t="s">
        <v>917</v>
      </c>
      <c r="D29" s="18" t="s">
        <v>829</v>
      </c>
      <c r="E29" s="18" t="s">
        <v>918</v>
      </c>
      <c r="F29" s="17" t="s">
        <v>252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0" t="s">
        <v>902</v>
      </c>
      <c r="B30" s="21" t="s">
        <v>919</v>
      </c>
      <c r="C30" s="21" t="s">
        <v>795</v>
      </c>
      <c r="D30" s="21" t="s">
        <v>670</v>
      </c>
      <c r="E30" s="21" t="s">
        <v>920</v>
      </c>
      <c r="F30" s="20" t="s">
        <v>260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17" t="s">
        <v>921</v>
      </c>
      <c r="B31" s="18" t="s">
        <v>922</v>
      </c>
      <c r="C31" s="18" t="s">
        <v>795</v>
      </c>
      <c r="D31" s="18" t="s">
        <v>670</v>
      </c>
      <c r="E31" s="18" t="s">
        <v>923</v>
      </c>
      <c r="F31" s="17" t="s">
        <v>63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0" t="s">
        <v>921</v>
      </c>
      <c r="B32" s="21" t="s">
        <v>924</v>
      </c>
      <c r="C32" s="21" t="s">
        <v>795</v>
      </c>
      <c r="D32" s="21" t="s">
        <v>670</v>
      </c>
      <c r="E32" s="20" t="s">
        <v>925</v>
      </c>
      <c r="F32" s="20" t="s">
        <v>484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17" t="s">
        <v>921</v>
      </c>
      <c r="B33" s="18" t="s">
        <v>926</v>
      </c>
      <c r="C33" s="18" t="s">
        <v>927</v>
      </c>
      <c r="D33" s="18" t="s">
        <v>928</v>
      </c>
      <c r="E33" s="18" t="s">
        <v>929</v>
      </c>
      <c r="F33" s="17" t="s">
        <v>283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17" t="s">
        <v>921</v>
      </c>
      <c r="B34" s="18" t="s">
        <v>930</v>
      </c>
      <c r="C34" s="18" t="s">
        <v>931</v>
      </c>
      <c r="D34" s="18" t="s">
        <v>670</v>
      </c>
      <c r="E34" s="18" t="s">
        <v>932</v>
      </c>
      <c r="F34" s="17" t="s">
        <v>933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17" t="s">
        <v>921</v>
      </c>
      <c r="B35" s="18" t="s">
        <v>934</v>
      </c>
      <c r="C35" s="17" t="s">
        <v>935</v>
      </c>
      <c r="D35" s="18" t="s">
        <v>928</v>
      </c>
      <c r="E35" s="18" t="s">
        <v>936</v>
      </c>
      <c r="F35" s="17" t="s">
        <v>299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0" t="s">
        <v>921</v>
      </c>
      <c r="B36" s="20" t="s">
        <v>937</v>
      </c>
      <c r="C36" s="21" t="s">
        <v>795</v>
      </c>
      <c r="D36" s="21" t="s">
        <v>670</v>
      </c>
      <c r="E36" s="21" t="s">
        <v>938</v>
      </c>
      <c r="F36" s="20" t="s">
        <v>676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0" t="s">
        <v>921</v>
      </c>
      <c r="B37" s="21" t="s">
        <v>939</v>
      </c>
      <c r="C37" s="21" t="s">
        <v>795</v>
      </c>
      <c r="D37" s="21" t="s">
        <v>670</v>
      </c>
      <c r="E37" s="21" t="s">
        <v>940</v>
      </c>
      <c r="F37" s="20" t="s">
        <v>313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0" t="s">
        <v>921</v>
      </c>
      <c r="B38" s="21" t="s">
        <v>941</v>
      </c>
      <c r="C38" s="21" t="s">
        <v>795</v>
      </c>
      <c r="D38" s="21" t="s">
        <v>670</v>
      </c>
      <c r="E38" s="20" t="s">
        <v>942</v>
      </c>
      <c r="F38" s="20" t="s">
        <v>321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0" t="s">
        <v>921</v>
      </c>
      <c r="B39" s="21" t="s">
        <v>943</v>
      </c>
      <c r="C39" s="21" t="s">
        <v>795</v>
      </c>
      <c r="D39" s="21" t="s">
        <v>670</v>
      </c>
      <c r="E39" s="21" t="s">
        <v>944</v>
      </c>
      <c r="F39" s="20" t="s">
        <v>328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0" t="s">
        <v>921</v>
      </c>
      <c r="B40" s="21" t="s">
        <v>945</v>
      </c>
      <c r="C40" s="21" t="s">
        <v>795</v>
      </c>
      <c r="D40" s="21" t="s">
        <v>670</v>
      </c>
      <c r="E40" s="20" t="s">
        <v>946</v>
      </c>
      <c r="F40" s="20" t="s">
        <v>336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0" t="s">
        <v>921</v>
      </c>
      <c r="B41" s="21" t="s">
        <v>947</v>
      </c>
      <c r="C41" s="21" t="s">
        <v>795</v>
      </c>
      <c r="D41" s="21" t="s">
        <v>670</v>
      </c>
      <c r="E41" s="21" t="s">
        <v>948</v>
      </c>
      <c r="F41" s="20" t="s">
        <v>45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0" t="s">
        <v>949</v>
      </c>
      <c r="B42" s="21" t="s">
        <v>950</v>
      </c>
      <c r="C42" s="21" t="s">
        <v>795</v>
      </c>
      <c r="D42" s="21" t="s">
        <v>670</v>
      </c>
      <c r="E42" s="20" t="s">
        <v>951</v>
      </c>
      <c r="F42" s="20" t="s">
        <v>352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0" t="s">
        <v>949</v>
      </c>
      <c r="B43" s="21" t="s">
        <v>952</v>
      </c>
      <c r="C43" s="21" t="s">
        <v>795</v>
      </c>
      <c r="D43" s="21" t="s">
        <v>670</v>
      </c>
      <c r="E43" s="20" t="s">
        <v>953</v>
      </c>
      <c r="F43" s="20" t="s">
        <v>543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0" t="s">
        <v>949</v>
      </c>
      <c r="B44" s="21" t="s">
        <v>954</v>
      </c>
      <c r="C44" s="21" t="s">
        <v>795</v>
      </c>
      <c r="D44" s="21" t="s">
        <v>670</v>
      </c>
      <c r="E44" s="21" t="s">
        <v>955</v>
      </c>
      <c r="F44" s="20" t="s">
        <v>366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17" t="s">
        <v>898</v>
      </c>
      <c r="B45" s="18" t="s">
        <v>956</v>
      </c>
      <c r="C45" s="18" t="s">
        <v>957</v>
      </c>
      <c r="D45" s="18" t="s">
        <v>958</v>
      </c>
      <c r="E45" s="18" t="s">
        <v>959</v>
      </c>
      <c r="F45" s="17" t="s">
        <v>960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17" t="s">
        <v>902</v>
      </c>
      <c r="B46" s="18" t="s">
        <v>961</v>
      </c>
      <c r="C46" s="18" t="s">
        <v>962</v>
      </c>
      <c r="D46" s="18" t="s">
        <v>958</v>
      </c>
      <c r="E46" s="18" t="s">
        <v>963</v>
      </c>
      <c r="F46" s="17" t="s">
        <v>964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3" t="s">
        <v>965</v>
      </c>
      <c r="B47" s="24" t="s">
        <v>966</v>
      </c>
      <c r="C47" s="23" t="s">
        <v>45</v>
      </c>
      <c r="D47" s="24" t="s">
        <v>387</v>
      </c>
      <c r="E47" s="23" t="s">
        <v>45</v>
      </c>
      <c r="F47" s="23" t="s">
        <v>45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0.85"/>
    <col collapsed="false" customWidth="true" hidden="false" outlineLevel="0" max="2" min="2" style="0" width="37.43"/>
    <col collapsed="false" customWidth="true" hidden="false" outlineLevel="0" max="3" min="3" style="0" width="47.71"/>
  </cols>
  <sheetData>
    <row r="1" customFormat="false" ht="20.1" hidden="false" customHeight="false" outlineLevel="0" collapsed="false">
      <c r="A1" s="25" t="s">
        <v>967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7.15" hidden="false" customHeight="false" outlineLevel="0" collapsed="false">
      <c r="A2" s="26" t="s">
        <v>968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7" t="s">
        <v>969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7.15" hidden="false" customHeight="false" outlineLevel="0" collapsed="false">
      <c r="A5" s="15" t="s">
        <v>970</v>
      </c>
      <c r="B5" s="15" t="s">
        <v>971</v>
      </c>
      <c r="C5" s="15" t="s">
        <v>972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32.8" hidden="false" customHeight="false" outlineLevel="0" collapsed="false">
      <c r="A6" s="17" t="s">
        <v>973</v>
      </c>
      <c r="B6" s="17" t="s">
        <v>974</v>
      </c>
      <c r="C6" s="18" t="s">
        <v>975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2.8" hidden="false" customHeight="false" outlineLevel="0" collapsed="false">
      <c r="A7" s="18" t="s">
        <v>976</v>
      </c>
      <c r="B7" s="18" t="s">
        <v>977</v>
      </c>
      <c r="C7" s="18" t="s">
        <v>978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2.8" hidden="false" customHeight="false" outlineLevel="0" collapsed="false">
      <c r="A8" s="18" t="s">
        <v>979</v>
      </c>
      <c r="B8" s="17" t="s">
        <v>980</v>
      </c>
      <c r="C8" s="18" t="s">
        <v>981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8.5" hidden="false" customHeight="false" outlineLevel="0" collapsed="false">
      <c r="A9" s="21" t="s">
        <v>982</v>
      </c>
      <c r="B9" s="21" t="s">
        <v>983</v>
      </c>
      <c r="C9" s="21" t="s">
        <v>984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7" t="s">
        <v>985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7.15" hidden="false" customHeight="false" outlineLevel="0" collapsed="false">
      <c r="A12" s="15" t="s">
        <v>986</v>
      </c>
      <c r="B12" s="15" t="s">
        <v>662</v>
      </c>
      <c r="C12" s="15" t="s">
        <v>987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8.5" hidden="false" customHeight="false" outlineLevel="0" collapsed="false">
      <c r="A13" s="17" t="s">
        <v>988</v>
      </c>
      <c r="B13" s="17" t="s">
        <v>989</v>
      </c>
      <c r="C13" s="17" t="s">
        <v>990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2.8" hidden="false" customHeight="false" outlineLevel="0" collapsed="false">
      <c r="A14" s="17" t="s">
        <v>991</v>
      </c>
      <c r="B14" s="17" t="s">
        <v>992</v>
      </c>
      <c r="C14" s="18" t="s">
        <v>993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8.5" hidden="false" customHeight="false" outlineLevel="0" collapsed="false">
      <c r="A15" s="18" t="s">
        <v>994</v>
      </c>
      <c r="B15" s="17" t="s">
        <v>995</v>
      </c>
      <c r="C15" s="18" t="s">
        <v>996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8.5" hidden="false" customHeight="false" outlineLevel="0" collapsed="false">
      <c r="A16" s="18" t="s">
        <v>997</v>
      </c>
      <c r="B16" s="18" t="s">
        <v>998</v>
      </c>
      <c r="C16" s="17" t="s">
        <v>999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64.15" hidden="false" customHeight="false" outlineLevel="0" collapsed="false">
      <c r="A17" s="20" t="s">
        <v>1000</v>
      </c>
      <c r="B17" s="20" t="s">
        <v>1001</v>
      </c>
      <c r="C17" s="20" t="s">
        <v>1002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64.15" hidden="false" customHeight="false" outlineLevel="0" collapsed="false">
      <c r="A18" s="20" t="s">
        <v>1003</v>
      </c>
      <c r="B18" s="20" t="s">
        <v>1001</v>
      </c>
      <c r="C18" s="20" t="s">
        <v>1004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48.5" hidden="false" customHeight="false" outlineLevel="0" collapsed="false">
      <c r="A19" s="20" t="s">
        <v>1005</v>
      </c>
      <c r="B19" s="20" t="s">
        <v>1001</v>
      </c>
      <c r="C19" s="20" t="s">
        <v>1006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7" t="s">
        <v>1007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7.15" hidden="false" customHeight="false" outlineLevel="0" collapsed="false">
      <c r="A22" s="14" t="s">
        <v>1008</v>
      </c>
      <c r="B22" s="15" t="s">
        <v>1009</v>
      </c>
      <c r="C22" s="15" t="s">
        <v>1010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32.8" hidden="false" customHeight="false" outlineLevel="0" collapsed="false">
      <c r="A23" s="17" t="s">
        <v>1011</v>
      </c>
      <c r="B23" s="18" t="s">
        <v>1012</v>
      </c>
      <c r="C23" s="18" t="s">
        <v>1013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32.8" hidden="false" customHeight="false" outlineLevel="0" collapsed="false">
      <c r="A24" s="17" t="s">
        <v>1014</v>
      </c>
      <c r="B24" s="18" t="s">
        <v>1015</v>
      </c>
      <c r="C24" s="18" t="s">
        <v>1016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32.8" hidden="false" customHeight="false" outlineLevel="0" collapsed="false">
      <c r="A25" s="17" t="s">
        <v>1017</v>
      </c>
      <c r="B25" s="18" t="s">
        <v>1018</v>
      </c>
      <c r="C25" s="18" t="s">
        <v>1019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32.8" hidden="false" customHeight="false" outlineLevel="0" collapsed="false">
      <c r="A26" s="17" t="s">
        <v>1020</v>
      </c>
      <c r="B26" s="17" t="s">
        <v>1021</v>
      </c>
      <c r="C26" s="17" t="s">
        <v>1022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32.8" hidden="false" customHeight="false" outlineLevel="0" collapsed="false">
      <c r="A27" s="20" t="s">
        <v>1023</v>
      </c>
      <c r="B27" s="20" t="s">
        <v>1024</v>
      </c>
      <c r="C27" s="21" t="s">
        <v>1025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48.5" hidden="false" customHeight="false" outlineLevel="0" collapsed="false">
      <c r="A28" s="20" t="s">
        <v>1026</v>
      </c>
      <c r="B28" s="20" t="s">
        <v>1027</v>
      </c>
      <c r="C28" s="21" t="s">
        <v>1028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32.8" hidden="false" customHeight="false" outlineLevel="0" collapsed="false">
      <c r="A29" s="17" t="s">
        <v>1029</v>
      </c>
      <c r="B29" s="18" t="s">
        <v>1030</v>
      </c>
      <c r="C29" s="17" t="s">
        <v>1031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32.8" hidden="false" customHeight="false" outlineLevel="0" collapsed="false">
      <c r="A30" s="17" t="s">
        <v>1032</v>
      </c>
      <c r="B30" s="17" t="s">
        <v>1033</v>
      </c>
      <c r="C30" s="18" t="s">
        <v>1034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32.8" hidden="false" customHeight="false" outlineLevel="0" collapsed="false">
      <c r="A31" s="17" t="s">
        <v>1035</v>
      </c>
      <c r="B31" s="18" t="s">
        <v>1036</v>
      </c>
      <c r="C31" s="17" t="s">
        <v>1037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0" width="8.43"/>
    <col collapsed="false" customWidth="true" hidden="false" outlineLevel="0" max="3" min="3" style="0" width="14.14"/>
    <col collapsed="false" customWidth="true" hidden="false" outlineLevel="0" max="4" min="4" style="0" width="12"/>
    <col collapsed="false" customWidth="true" hidden="false" outlineLevel="0" max="5" min="5" style="0" width="35.43"/>
    <col collapsed="false" customWidth="true" hidden="false" outlineLevel="0" max="6" min="6" style="0" width="13.15"/>
    <col collapsed="false" customWidth="true" hidden="false" outlineLevel="0" max="7" min="7" style="0" width="11.57"/>
    <col collapsed="false" customWidth="true" hidden="false" outlineLevel="0" max="8" min="8" style="0" width="33.29"/>
  </cols>
  <sheetData>
    <row r="1" customFormat="false" ht="17.15" hidden="false" customHeight="false" outlineLevel="0" collapsed="false">
      <c r="A1" s="14" t="s">
        <v>28</v>
      </c>
      <c r="B1" s="15" t="s">
        <v>1038</v>
      </c>
      <c r="C1" s="15" t="s">
        <v>1039</v>
      </c>
      <c r="D1" s="15" t="s">
        <v>1040</v>
      </c>
      <c r="E1" s="15" t="s">
        <v>1041</v>
      </c>
      <c r="F1" s="15" t="s">
        <v>1042</v>
      </c>
      <c r="G1" s="15" t="s">
        <v>1043</v>
      </c>
      <c r="H1" s="15" t="s">
        <v>1044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79.85" hidden="false" customHeight="false" outlineLevel="0" collapsed="false">
      <c r="A2" s="16" t="n">
        <v>1</v>
      </c>
      <c r="B2" s="18" t="s">
        <v>1045</v>
      </c>
      <c r="C2" s="18" t="s">
        <v>1046</v>
      </c>
      <c r="D2" s="18" t="s">
        <v>1047</v>
      </c>
      <c r="E2" s="18" t="s">
        <v>1048</v>
      </c>
      <c r="F2" s="18" t="s">
        <v>1049</v>
      </c>
      <c r="G2" s="18" t="s">
        <v>1050</v>
      </c>
      <c r="H2" s="17" t="s">
        <v>992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95.5" hidden="false" customHeight="false" outlineLevel="0" collapsed="false">
      <c r="A3" s="19" t="n">
        <v>2</v>
      </c>
      <c r="B3" s="21" t="s">
        <v>1045</v>
      </c>
      <c r="C3" s="21" t="s">
        <v>1046</v>
      </c>
      <c r="D3" s="21" t="s">
        <v>1051</v>
      </c>
      <c r="E3" s="21" t="s">
        <v>1052</v>
      </c>
      <c r="F3" s="21" t="s">
        <v>1049</v>
      </c>
      <c r="G3" s="21" t="s">
        <v>1050</v>
      </c>
      <c r="H3" s="20" t="s">
        <v>1053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48.5" hidden="false" customHeight="false" outlineLevel="0" collapsed="false">
      <c r="A4" s="22" t="n">
        <v>3</v>
      </c>
      <c r="B4" s="23" t="s">
        <v>45</v>
      </c>
      <c r="C4" s="24" t="s">
        <v>1046</v>
      </c>
      <c r="D4" s="24" t="s">
        <v>1051</v>
      </c>
      <c r="E4" s="24" t="s">
        <v>1054</v>
      </c>
      <c r="F4" s="23" t="s">
        <v>45</v>
      </c>
      <c r="G4" s="24" t="s">
        <v>1055</v>
      </c>
      <c r="H4" s="23" t="s">
        <v>1056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95.5" hidden="false" customHeight="false" outlineLevel="0" collapsed="false">
      <c r="A5" s="19" t="n">
        <v>4</v>
      </c>
      <c r="B5" s="21" t="s">
        <v>1057</v>
      </c>
      <c r="C5" s="21" t="s">
        <v>1046</v>
      </c>
      <c r="D5" s="21" t="s">
        <v>1058</v>
      </c>
      <c r="E5" s="21" t="s">
        <v>1059</v>
      </c>
      <c r="F5" s="21" t="s">
        <v>1049</v>
      </c>
      <c r="G5" s="21" t="s">
        <v>1060</v>
      </c>
      <c r="H5" s="20" t="s">
        <v>1061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64.15" hidden="false" customHeight="false" outlineLevel="0" collapsed="false">
      <c r="A6" s="19" t="n">
        <v>5</v>
      </c>
      <c r="B6" s="21" t="s">
        <v>1062</v>
      </c>
      <c r="C6" s="21" t="s">
        <v>1046</v>
      </c>
      <c r="D6" s="21" t="s">
        <v>1063</v>
      </c>
      <c r="E6" s="21" t="s">
        <v>1064</v>
      </c>
      <c r="F6" s="21" t="s">
        <v>1065</v>
      </c>
      <c r="G6" s="21" t="s">
        <v>1050</v>
      </c>
      <c r="H6" s="20" t="s">
        <v>1066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8.5" hidden="false" customHeight="false" outlineLevel="0" collapsed="false">
      <c r="A7" s="22" t="n">
        <v>6</v>
      </c>
      <c r="B7" s="23" t="s">
        <v>45</v>
      </c>
      <c r="C7" s="24" t="s">
        <v>1046</v>
      </c>
      <c r="D7" s="24" t="s">
        <v>1051</v>
      </c>
      <c r="E7" s="24" t="s">
        <v>1067</v>
      </c>
      <c r="F7" s="23" t="s">
        <v>45</v>
      </c>
      <c r="G7" s="24" t="s">
        <v>1055</v>
      </c>
      <c r="H7" s="23" t="s">
        <v>1068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2.8" hidden="false" customHeight="false" outlineLevel="0" collapsed="false">
      <c r="A8" s="16" t="n">
        <v>7</v>
      </c>
      <c r="B8" s="18" t="s">
        <v>1062</v>
      </c>
      <c r="C8" s="18" t="s">
        <v>1046</v>
      </c>
      <c r="D8" s="18" t="s">
        <v>1047</v>
      </c>
      <c r="E8" s="18" t="s">
        <v>1069</v>
      </c>
      <c r="F8" s="18" t="s">
        <v>1049</v>
      </c>
      <c r="G8" s="18" t="s">
        <v>1050</v>
      </c>
      <c r="H8" s="17" t="s">
        <v>1070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8.5" hidden="false" customHeight="false" outlineLevel="0" collapsed="false">
      <c r="A9" s="16" t="n">
        <v>8</v>
      </c>
      <c r="B9" s="18" t="s">
        <v>1057</v>
      </c>
      <c r="C9" s="18" t="s">
        <v>1046</v>
      </c>
      <c r="D9" s="18" t="s">
        <v>1071</v>
      </c>
      <c r="E9" s="18" t="s">
        <v>1072</v>
      </c>
      <c r="F9" s="18" t="s">
        <v>1073</v>
      </c>
      <c r="G9" s="18" t="s">
        <v>1050</v>
      </c>
      <c r="H9" s="17" t="s">
        <v>1074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2.8" hidden="false" customHeight="false" outlineLevel="0" collapsed="false">
      <c r="A10" s="22" t="n">
        <v>9</v>
      </c>
      <c r="B10" s="23" t="s">
        <v>45</v>
      </c>
      <c r="C10" s="24" t="s">
        <v>1046</v>
      </c>
      <c r="D10" s="24" t="s">
        <v>762</v>
      </c>
      <c r="E10" s="24" t="s">
        <v>1075</v>
      </c>
      <c r="F10" s="23" t="s">
        <v>45</v>
      </c>
      <c r="G10" s="24" t="s">
        <v>1055</v>
      </c>
      <c r="H10" s="23" t="s">
        <v>1076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2.8" hidden="false" customHeight="false" outlineLevel="0" collapsed="false">
      <c r="A11" s="16" t="n">
        <v>10</v>
      </c>
      <c r="B11" s="18" t="s">
        <v>1062</v>
      </c>
      <c r="C11" s="17" t="s">
        <v>1077</v>
      </c>
      <c r="D11" s="18" t="s">
        <v>1051</v>
      </c>
      <c r="E11" s="18" t="s">
        <v>1078</v>
      </c>
      <c r="F11" s="17" t="s">
        <v>1079</v>
      </c>
      <c r="G11" s="18" t="s">
        <v>1050</v>
      </c>
      <c r="H11" s="17" t="s">
        <v>1080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2.8" hidden="false" customHeight="false" outlineLevel="0" collapsed="false">
      <c r="A12" s="16" t="n">
        <v>11</v>
      </c>
      <c r="B12" s="18" t="s">
        <v>1057</v>
      </c>
      <c r="C12" s="17" t="s">
        <v>1077</v>
      </c>
      <c r="D12" s="18" t="s">
        <v>1051</v>
      </c>
      <c r="E12" s="18" t="s">
        <v>1081</v>
      </c>
      <c r="F12" s="17" t="s">
        <v>1079</v>
      </c>
      <c r="G12" s="18" t="s">
        <v>1050</v>
      </c>
      <c r="H12" s="17" t="s">
        <v>1082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2.8" hidden="false" customHeight="false" outlineLevel="0" collapsed="false">
      <c r="A13" s="22" t="n">
        <v>12</v>
      </c>
      <c r="B13" s="24" t="s">
        <v>1083</v>
      </c>
      <c r="C13" s="23" t="s">
        <v>1077</v>
      </c>
      <c r="D13" s="24" t="s">
        <v>1051</v>
      </c>
      <c r="E13" s="24" t="s">
        <v>1084</v>
      </c>
      <c r="F13" s="23" t="s">
        <v>1079</v>
      </c>
      <c r="G13" s="24" t="s">
        <v>584</v>
      </c>
      <c r="H13" s="23" t="s">
        <v>1085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64.15" hidden="false" customHeight="false" outlineLevel="0" collapsed="false">
      <c r="A14" s="19" t="n">
        <v>13</v>
      </c>
      <c r="B14" s="21" t="s">
        <v>1062</v>
      </c>
      <c r="C14" s="20" t="s">
        <v>1077</v>
      </c>
      <c r="D14" s="21" t="s">
        <v>1051</v>
      </c>
      <c r="E14" s="21" t="s">
        <v>1086</v>
      </c>
      <c r="F14" s="20" t="s">
        <v>1079</v>
      </c>
      <c r="G14" s="21" t="s">
        <v>1050</v>
      </c>
      <c r="H14" s="20" t="s">
        <v>1087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77.6" hidden="false" customHeight="false" outlineLevel="0" collapsed="false">
      <c r="A15" s="19" t="n">
        <v>14</v>
      </c>
      <c r="B15" s="21" t="s">
        <v>1062</v>
      </c>
      <c r="C15" s="20" t="s">
        <v>1077</v>
      </c>
      <c r="D15" s="21" t="s">
        <v>1088</v>
      </c>
      <c r="E15" s="20" t="s">
        <v>1089</v>
      </c>
      <c r="F15" s="20" t="s">
        <v>1079</v>
      </c>
      <c r="G15" s="21" t="s">
        <v>1050</v>
      </c>
      <c r="H15" s="20" t="s">
        <v>1090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79.85" hidden="false" customHeight="false" outlineLevel="0" collapsed="false">
      <c r="A16" s="19" t="n">
        <v>15</v>
      </c>
      <c r="B16" s="21" t="s">
        <v>1062</v>
      </c>
      <c r="C16" s="21" t="s">
        <v>1091</v>
      </c>
      <c r="D16" s="21" t="s">
        <v>1051</v>
      </c>
      <c r="E16" s="20" t="s">
        <v>1092</v>
      </c>
      <c r="F16" s="21" t="s">
        <v>1093</v>
      </c>
      <c r="G16" s="21" t="s">
        <v>1050</v>
      </c>
      <c r="H16" s="20" t="s">
        <v>1094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48.5" hidden="false" customHeight="false" outlineLevel="0" collapsed="false">
      <c r="A17" s="16" t="n">
        <v>16</v>
      </c>
      <c r="B17" s="18" t="s">
        <v>1062</v>
      </c>
      <c r="C17" s="18" t="s">
        <v>1091</v>
      </c>
      <c r="D17" s="18" t="s">
        <v>1051</v>
      </c>
      <c r="E17" s="18" t="s">
        <v>1095</v>
      </c>
      <c r="F17" s="18" t="s">
        <v>1096</v>
      </c>
      <c r="G17" s="18" t="s">
        <v>1050</v>
      </c>
      <c r="H17" s="17" t="s">
        <v>1097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79.85" hidden="false" customHeight="false" outlineLevel="0" collapsed="false">
      <c r="A18" s="19" t="n">
        <v>17</v>
      </c>
      <c r="B18" s="21" t="s">
        <v>1062</v>
      </c>
      <c r="C18" s="21" t="s">
        <v>1091</v>
      </c>
      <c r="D18" s="21" t="s">
        <v>1051</v>
      </c>
      <c r="E18" s="20" t="s">
        <v>1098</v>
      </c>
      <c r="F18" s="21" t="s">
        <v>1099</v>
      </c>
      <c r="G18" s="21" t="s">
        <v>1100</v>
      </c>
      <c r="H18" s="20" t="s">
        <v>1101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64.15" hidden="false" customHeight="false" outlineLevel="0" collapsed="false">
      <c r="A19" s="19" t="n">
        <v>18</v>
      </c>
      <c r="B19" s="21" t="s">
        <v>1057</v>
      </c>
      <c r="C19" s="21" t="s">
        <v>1091</v>
      </c>
      <c r="D19" s="21" t="s">
        <v>1102</v>
      </c>
      <c r="E19" s="20" t="s">
        <v>1103</v>
      </c>
      <c r="F19" s="21" t="s">
        <v>1104</v>
      </c>
      <c r="G19" s="21" t="s">
        <v>1060</v>
      </c>
      <c r="H19" s="20" t="s">
        <v>1105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48.5" hidden="false" customHeight="false" outlineLevel="0" collapsed="false">
      <c r="A20" s="16" t="n">
        <v>19</v>
      </c>
      <c r="B20" s="18" t="s">
        <v>1045</v>
      </c>
      <c r="C20" s="18" t="s">
        <v>1091</v>
      </c>
      <c r="D20" s="18" t="s">
        <v>1051</v>
      </c>
      <c r="E20" s="18" t="s">
        <v>1106</v>
      </c>
      <c r="F20" s="18" t="s">
        <v>1107</v>
      </c>
      <c r="G20" s="18" t="s">
        <v>1050</v>
      </c>
      <c r="H20" s="17" t="s">
        <v>1108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79.85" hidden="false" customHeight="false" outlineLevel="0" collapsed="false">
      <c r="A21" s="19" t="n">
        <v>20</v>
      </c>
      <c r="B21" s="21" t="s">
        <v>1062</v>
      </c>
      <c r="C21" s="21" t="s">
        <v>1091</v>
      </c>
      <c r="D21" s="21" t="s">
        <v>1109</v>
      </c>
      <c r="E21" s="20" t="s">
        <v>1110</v>
      </c>
      <c r="F21" s="21" t="s">
        <v>1111</v>
      </c>
      <c r="G21" s="21" t="s">
        <v>1050</v>
      </c>
      <c r="H21" s="20" t="s">
        <v>1112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32.8" hidden="false" customHeight="false" outlineLevel="0" collapsed="false">
      <c r="A22" s="16" t="n">
        <v>21</v>
      </c>
      <c r="B22" s="18" t="s">
        <v>1045</v>
      </c>
      <c r="C22" s="18" t="s">
        <v>1113</v>
      </c>
      <c r="D22" s="18" t="s">
        <v>1114</v>
      </c>
      <c r="E22" s="18" t="s">
        <v>1115</v>
      </c>
      <c r="F22" s="18" t="s">
        <v>1116</v>
      </c>
      <c r="G22" s="18" t="s">
        <v>1050</v>
      </c>
      <c r="H22" s="17" t="s">
        <v>1117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32.8" hidden="false" customHeight="false" outlineLevel="0" collapsed="false">
      <c r="A23" s="16" t="n">
        <v>22</v>
      </c>
      <c r="B23" s="18" t="s">
        <v>1057</v>
      </c>
      <c r="C23" s="18" t="s">
        <v>1113</v>
      </c>
      <c r="D23" s="18" t="s">
        <v>1114</v>
      </c>
      <c r="E23" s="18" t="s">
        <v>1118</v>
      </c>
      <c r="F23" s="18" t="s">
        <v>1116</v>
      </c>
      <c r="G23" s="18" t="s">
        <v>1050</v>
      </c>
      <c r="H23" s="17" t="s">
        <v>1119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7.15" hidden="false" customHeight="false" outlineLevel="0" collapsed="false">
      <c r="A24" s="16" t="n">
        <v>23</v>
      </c>
      <c r="B24" s="18" t="s">
        <v>1057</v>
      </c>
      <c r="C24" s="18" t="s">
        <v>1113</v>
      </c>
      <c r="D24" s="18" t="s">
        <v>1114</v>
      </c>
      <c r="E24" s="18" t="s">
        <v>1120</v>
      </c>
      <c r="F24" s="18" t="s">
        <v>1116</v>
      </c>
      <c r="G24" s="18" t="s">
        <v>1050</v>
      </c>
      <c r="H24" s="17" t="s">
        <v>1121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48.5" hidden="false" customHeight="false" outlineLevel="0" collapsed="false">
      <c r="A25" s="19" t="n">
        <v>24</v>
      </c>
      <c r="B25" s="21" t="s">
        <v>1062</v>
      </c>
      <c r="C25" s="21" t="s">
        <v>1113</v>
      </c>
      <c r="D25" s="21" t="s">
        <v>1114</v>
      </c>
      <c r="E25" s="21" t="s">
        <v>1122</v>
      </c>
      <c r="F25" s="21" t="s">
        <v>1116</v>
      </c>
      <c r="G25" s="21" t="s">
        <v>1050</v>
      </c>
      <c r="H25" s="20" t="s">
        <v>1123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79.85" hidden="false" customHeight="false" outlineLevel="0" collapsed="false">
      <c r="A26" s="19" t="n">
        <v>25</v>
      </c>
      <c r="B26" s="21" t="s">
        <v>1062</v>
      </c>
      <c r="C26" s="21" t="s">
        <v>1113</v>
      </c>
      <c r="D26" s="21" t="s">
        <v>1114</v>
      </c>
      <c r="E26" s="21" t="s">
        <v>1124</v>
      </c>
      <c r="F26" s="21" t="s">
        <v>1116</v>
      </c>
      <c r="G26" s="21" t="s">
        <v>1050</v>
      </c>
      <c r="H26" s="20" t="s">
        <v>1125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48.5" hidden="false" customHeight="false" outlineLevel="0" collapsed="false">
      <c r="A27" s="19" t="n">
        <v>26</v>
      </c>
      <c r="B27" s="21" t="s">
        <v>1062</v>
      </c>
      <c r="C27" s="21" t="s">
        <v>1113</v>
      </c>
      <c r="D27" s="21" t="s">
        <v>1114</v>
      </c>
      <c r="E27" s="21" t="s">
        <v>1126</v>
      </c>
      <c r="F27" s="21" t="s">
        <v>1116</v>
      </c>
      <c r="G27" s="21" t="s">
        <v>1050</v>
      </c>
      <c r="H27" s="20" t="s">
        <v>1127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32.8" hidden="false" customHeight="false" outlineLevel="0" collapsed="false">
      <c r="A28" s="16" t="n">
        <v>27</v>
      </c>
      <c r="B28" s="18" t="s">
        <v>1057</v>
      </c>
      <c r="C28" s="18" t="s">
        <v>1113</v>
      </c>
      <c r="D28" s="18" t="s">
        <v>1114</v>
      </c>
      <c r="E28" s="18" t="s">
        <v>1128</v>
      </c>
      <c r="F28" s="18" t="s">
        <v>1116</v>
      </c>
      <c r="G28" s="18" t="s">
        <v>1050</v>
      </c>
      <c r="H28" s="17" t="s">
        <v>1129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32.8" hidden="false" customHeight="false" outlineLevel="0" collapsed="false">
      <c r="A29" s="16" t="n">
        <v>28</v>
      </c>
      <c r="B29" s="18" t="s">
        <v>1083</v>
      </c>
      <c r="C29" s="18" t="s">
        <v>1113</v>
      </c>
      <c r="D29" s="18" t="s">
        <v>1114</v>
      </c>
      <c r="E29" s="18" t="s">
        <v>1130</v>
      </c>
      <c r="F29" s="18" t="s">
        <v>1116</v>
      </c>
      <c r="G29" s="18" t="s">
        <v>1050</v>
      </c>
      <c r="H29" s="17" t="s">
        <v>1131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48.5" hidden="false" customHeight="false" outlineLevel="0" collapsed="false">
      <c r="A30" s="19" t="n">
        <v>29</v>
      </c>
      <c r="B30" s="21" t="s">
        <v>1045</v>
      </c>
      <c r="C30" s="21" t="s">
        <v>1113</v>
      </c>
      <c r="D30" s="21" t="s">
        <v>1132</v>
      </c>
      <c r="E30" s="20" t="s">
        <v>1133</v>
      </c>
      <c r="F30" s="21" t="s">
        <v>1134</v>
      </c>
      <c r="G30" s="21" t="s">
        <v>1050</v>
      </c>
      <c r="H30" s="20" t="s">
        <v>1135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32.8" hidden="false" customHeight="false" outlineLevel="0" collapsed="false">
      <c r="A31" s="16" t="n">
        <v>30</v>
      </c>
      <c r="B31" s="18" t="s">
        <v>1057</v>
      </c>
      <c r="C31" s="18" t="s">
        <v>1113</v>
      </c>
      <c r="D31" s="18" t="s">
        <v>1114</v>
      </c>
      <c r="E31" s="17" t="s">
        <v>1136</v>
      </c>
      <c r="F31" s="18" t="s">
        <v>1116</v>
      </c>
      <c r="G31" s="18" t="s">
        <v>1050</v>
      </c>
      <c r="H31" s="17" t="s">
        <v>1137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32.8" hidden="false" customHeight="false" outlineLevel="0" collapsed="false">
      <c r="A32" s="16" t="n">
        <v>31</v>
      </c>
      <c r="B32" s="18" t="s">
        <v>1062</v>
      </c>
      <c r="C32" s="18" t="s">
        <v>1113</v>
      </c>
      <c r="D32" s="18" t="s">
        <v>1114</v>
      </c>
      <c r="E32" s="18" t="s">
        <v>1138</v>
      </c>
      <c r="F32" s="18" t="s">
        <v>1116</v>
      </c>
      <c r="G32" s="18" t="s">
        <v>1050</v>
      </c>
      <c r="H32" s="17" t="s">
        <v>1139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64.15" hidden="false" customHeight="false" outlineLevel="0" collapsed="false">
      <c r="A33" s="19" t="n">
        <v>32</v>
      </c>
      <c r="B33" s="21" t="s">
        <v>1045</v>
      </c>
      <c r="C33" s="21" t="s">
        <v>1113</v>
      </c>
      <c r="D33" s="21" t="s">
        <v>1114</v>
      </c>
      <c r="E33" s="21" t="s">
        <v>1140</v>
      </c>
      <c r="F33" s="21" t="s">
        <v>1116</v>
      </c>
      <c r="G33" s="21" t="s">
        <v>1050</v>
      </c>
      <c r="H33" s="20" t="s">
        <v>1141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48.5" hidden="false" customHeight="false" outlineLevel="0" collapsed="false">
      <c r="A34" s="16" t="n">
        <v>33</v>
      </c>
      <c r="B34" s="18" t="s">
        <v>1057</v>
      </c>
      <c r="C34" s="18" t="s">
        <v>1113</v>
      </c>
      <c r="D34" s="18" t="s">
        <v>1114</v>
      </c>
      <c r="E34" s="18" t="s">
        <v>1142</v>
      </c>
      <c r="F34" s="18" t="s">
        <v>1116</v>
      </c>
      <c r="G34" s="18" t="s">
        <v>1050</v>
      </c>
      <c r="H34" s="17" t="s">
        <v>1143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32.8" hidden="false" customHeight="false" outlineLevel="0" collapsed="false">
      <c r="A35" s="16" t="n">
        <v>34</v>
      </c>
      <c r="B35" s="18" t="s">
        <v>1057</v>
      </c>
      <c r="C35" s="18" t="s">
        <v>1113</v>
      </c>
      <c r="D35" s="18" t="s">
        <v>1114</v>
      </c>
      <c r="E35" s="18" t="s">
        <v>1144</v>
      </c>
      <c r="F35" s="18" t="s">
        <v>1116</v>
      </c>
      <c r="G35" s="18" t="s">
        <v>1050</v>
      </c>
      <c r="H35" s="17" t="s">
        <v>1145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32.8" hidden="false" customHeight="false" outlineLevel="0" collapsed="false">
      <c r="A36" s="16" t="n">
        <v>35</v>
      </c>
      <c r="B36" s="18" t="s">
        <v>1062</v>
      </c>
      <c r="C36" s="18" t="s">
        <v>1113</v>
      </c>
      <c r="D36" s="18" t="s">
        <v>1146</v>
      </c>
      <c r="E36" s="18" t="s">
        <v>1147</v>
      </c>
      <c r="F36" s="18" t="s">
        <v>1148</v>
      </c>
      <c r="G36" s="18" t="s">
        <v>1050</v>
      </c>
      <c r="H36" s="17" t="s">
        <v>1149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79.85" hidden="false" customHeight="false" outlineLevel="0" collapsed="false">
      <c r="A37" s="19" t="n">
        <v>36</v>
      </c>
      <c r="B37" s="21" t="s">
        <v>1062</v>
      </c>
      <c r="C37" s="21" t="s">
        <v>1150</v>
      </c>
      <c r="D37" s="21" t="s">
        <v>1051</v>
      </c>
      <c r="E37" s="21" t="s">
        <v>1151</v>
      </c>
      <c r="F37" s="21" t="s">
        <v>1152</v>
      </c>
      <c r="G37" s="21" t="s">
        <v>1050</v>
      </c>
      <c r="H37" s="20" t="s">
        <v>1153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48.5" hidden="false" customHeight="false" outlineLevel="0" collapsed="false">
      <c r="A38" s="16" t="n">
        <v>37</v>
      </c>
      <c r="B38" s="18" t="s">
        <v>1045</v>
      </c>
      <c r="C38" s="18" t="s">
        <v>1113</v>
      </c>
      <c r="D38" s="18" t="s">
        <v>1114</v>
      </c>
      <c r="E38" s="18" t="s">
        <v>1154</v>
      </c>
      <c r="F38" s="18" t="s">
        <v>1116</v>
      </c>
      <c r="G38" s="18" t="s">
        <v>1050</v>
      </c>
      <c r="H38" s="17" t="s">
        <v>1155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64.15" hidden="false" customHeight="false" outlineLevel="0" collapsed="false">
      <c r="A39" s="16" t="n">
        <v>38</v>
      </c>
      <c r="B39" s="18" t="s">
        <v>1057</v>
      </c>
      <c r="C39" s="18" t="s">
        <v>1113</v>
      </c>
      <c r="D39" s="18" t="s">
        <v>1114</v>
      </c>
      <c r="E39" s="18" t="s">
        <v>1156</v>
      </c>
      <c r="F39" s="18" t="s">
        <v>1157</v>
      </c>
      <c r="G39" s="18" t="s">
        <v>1050</v>
      </c>
      <c r="H39" s="17" t="s">
        <v>1158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48.5" hidden="false" customHeight="false" outlineLevel="0" collapsed="false">
      <c r="A40" s="16" t="n">
        <v>39</v>
      </c>
      <c r="B40" s="18" t="s">
        <v>1062</v>
      </c>
      <c r="C40" s="18" t="s">
        <v>1113</v>
      </c>
      <c r="D40" s="18" t="s">
        <v>1114</v>
      </c>
      <c r="E40" s="18" t="s">
        <v>1159</v>
      </c>
      <c r="F40" s="18" t="s">
        <v>1157</v>
      </c>
      <c r="G40" s="18" t="s">
        <v>1050</v>
      </c>
      <c r="H40" s="17" t="s">
        <v>1160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48.5" hidden="false" customHeight="false" outlineLevel="0" collapsed="false">
      <c r="A41" s="16" t="n">
        <v>40</v>
      </c>
      <c r="B41" s="18" t="s">
        <v>1057</v>
      </c>
      <c r="C41" s="18" t="s">
        <v>1113</v>
      </c>
      <c r="D41" s="18" t="s">
        <v>1114</v>
      </c>
      <c r="E41" s="18" t="s">
        <v>1161</v>
      </c>
      <c r="F41" s="18" t="s">
        <v>1157</v>
      </c>
      <c r="G41" s="18" t="s">
        <v>1050</v>
      </c>
      <c r="H41" s="17" t="s">
        <v>1162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32.8" hidden="false" customHeight="false" outlineLevel="0" collapsed="false">
      <c r="A42" s="16" t="n">
        <v>41</v>
      </c>
      <c r="B42" s="18" t="s">
        <v>1057</v>
      </c>
      <c r="C42" s="18" t="s">
        <v>1113</v>
      </c>
      <c r="D42" s="18" t="s">
        <v>1114</v>
      </c>
      <c r="E42" s="18" t="s">
        <v>1163</v>
      </c>
      <c r="F42" s="18" t="s">
        <v>1116</v>
      </c>
      <c r="G42" s="18" t="s">
        <v>1050</v>
      </c>
      <c r="H42" s="17" t="s">
        <v>1164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32.8" hidden="false" customHeight="false" outlineLevel="0" collapsed="false">
      <c r="A43" s="16" t="n">
        <v>42</v>
      </c>
      <c r="B43" s="18" t="s">
        <v>1083</v>
      </c>
      <c r="C43" s="18" t="s">
        <v>1113</v>
      </c>
      <c r="D43" s="18" t="s">
        <v>1114</v>
      </c>
      <c r="E43" s="18" t="s">
        <v>1165</v>
      </c>
      <c r="F43" s="18" t="s">
        <v>1116</v>
      </c>
      <c r="G43" s="18" t="s">
        <v>1050</v>
      </c>
      <c r="H43" s="17" t="s">
        <v>1166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79.85" hidden="false" customHeight="false" outlineLevel="0" collapsed="false">
      <c r="A44" s="19" t="n">
        <v>43</v>
      </c>
      <c r="B44" s="21" t="s">
        <v>1057</v>
      </c>
      <c r="C44" s="21" t="s">
        <v>1113</v>
      </c>
      <c r="D44" s="21" t="s">
        <v>1114</v>
      </c>
      <c r="E44" s="20" t="s">
        <v>1167</v>
      </c>
      <c r="F44" s="21" t="s">
        <v>1116</v>
      </c>
      <c r="G44" s="21" t="s">
        <v>584</v>
      </c>
      <c r="H44" s="20" t="s">
        <v>1168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48.5" hidden="false" customHeight="false" outlineLevel="0" collapsed="false">
      <c r="A45" s="19" t="n">
        <v>44</v>
      </c>
      <c r="B45" s="21" t="s">
        <v>1062</v>
      </c>
      <c r="C45" s="21" t="s">
        <v>1113</v>
      </c>
      <c r="D45" s="21" t="s">
        <v>1114</v>
      </c>
      <c r="E45" s="20" t="s">
        <v>1169</v>
      </c>
      <c r="F45" s="21" t="s">
        <v>1116</v>
      </c>
      <c r="G45" s="21" t="s">
        <v>1050</v>
      </c>
      <c r="H45" s="20" t="s">
        <v>1170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48.5" hidden="false" customHeight="false" outlineLevel="0" collapsed="false">
      <c r="A46" s="19" t="n">
        <v>45</v>
      </c>
      <c r="B46" s="21" t="s">
        <v>1045</v>
      </c>
      <c r="C46" s="21" t="s">
        <v>1091</v>
      </c>
      <c r="D46" s="21" t="s">
        <v>1051</v>
      </c>
      <c r="E46" s="20" t="s">
        <v>1171</v>
      </c>
      <c r="F46" s="21" t="s">
        <v>1172</v>
      </c>
      <c r="G46" s="21" t="s">
        <v>1050</v>
      </c>
      <c r="H46" s="20" t="s">
        <v>1173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48.5" hidden="false" customHeight="false" outlineLevel="0" collapsed="false">
      <c r="A47" s="19" t="n">
        <v>46</v>
      </c>
      <c r="B47" s="21" t="s">
        <v>1057</v>
      </c>
      <c r="C47" s="21" t="s">
        <v>1113</v>
      </c>
      <c r="D47" s="21" t="s">
        <v>1114</v>
      </c>
      <c r="E47" s="20" t="s">
        <v>1174</v>
      </c>
      <c r="F47" s="21" t="s">
        <v>1175</v>
      </c>
      <c r="G47" s="21" t="s">
        <v>1050</v>
      </c>
      <c r="H47" s="20" t="s">
        <v>1176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48.5" hidden="false" customHeight="false" outlineLevel="0" collapsed="false">
      <c r="A48" s="19" t="n">
        <v>47</v>
      </c>
      <c r="B48" s="21" t="s">
        <v>1062</v>
      </c>
      <c r="C48" s="21" t="s">
        <v>1113</v>
      </c>
      <c r="D48" s="21" t="s">
        <v>1114</v>
      </c>
      <c r="E48" s="20" t="s">
        <v>1177</v>
      </c>
      <c r="F48" s="21" t="s">
        <v>1175</v>
      </c>
      <c r="G48" s="21" t="s">
        <v>1050</v>
      </c>
      <c r="H48" s="20" t="s">
        <v>1178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48.5" hidden="false" customHeight="false" outlineLevel="0" collapsed="false">
      <c r="A49" s="19" t="n">
        <v>48</v>
      </c>
      <c r="B49" s="21" t="s">
        <v>1057</v>
      </c>
      <c r="C49" s="21" t="s">
        <v>1113</v>
      </c>
      <c r="D49" s="21" t="s">
        <v>1114</v>
      </c>
      <c r="E49" s="20" t="s">
        <v>1179</v>
      </c>
      <c r="F49" s="21" t="s">
        <v>1116</v>
      </c>
      <c r="G49" s="21" t="s">
        <v>1050</v>
      </c>
      <c r="H49" s="20" t="s">
        <v>1180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48.5" hidden="false" customHeight="false" outlineLevel="0" collapsed="false">
      <c r="A50" s="19" t="n">
        <v>49</v>
      </c>
      <c r="B50" s="21" t="s">
        <v>1057</v>
      </c>
      <c r="C50" s="21" t="s">
        <v>1181</v>
      </c>
      <c r="D50" s="21" t="s">
        <v>17</v>
      </c>
      <c r="E50" s="21" t="s">
        <v>1182</v>
      </c>
      <c r="F50" s="21" t="s">
        <v>1116</v>
      </c>
      <c r="G50" s="21" t="s">
        <v>1050</v>
      </c>
      <c r="H50" s="21" t="s">
        <v>1183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32.8" hidden="false" customHeight="false" outlineLevel="0" collapsed="false">
      <c r="A51" s="19" t="n">
        <v>50</v>
      </c>
      <c r="B51" s="21" t="s">
        <v>1057</v>
      </c>
      <c r="C51" s="21" t="s">
        <v>1184</v>
      </c>
      <c r="D51" s="21" t="s">
        <v>17</v>
      </c>
      <c r="E51" s="21" t="s">
        <v>1185</v>
      </c>
      <c r="F51" s="21" t="s">
        <v>1157</v>
      </c>
      <c r="G51" s="21" t="s">
        <v>1050</v>
      </c>
      <c r="H51" s="21" t="s">
        <v>1186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32.8" hidden="false" customHeight="false" outlineLevel="0" collapsed="false">
      <c r="A52" s="22" t="n">
        <v>51</v>
      </c>
      <c r="B52" s="24" t="s">
        <v>1083</v>
      </c>
      <c r="C52" s="24" t="s">
        <v>1187</v>
      </c>
      <c r="D52" s="24" t="s">
        <v>17</v>
      </c>
      <c r="E52" s="24" t="s">
        <v>1188</v>
      </c>
      <c r="F52" s="24" t="s">
        <v>1116</v>
      </c>
      <c r="G52" s="24" t="s">
        <v>1050</v>
      </c>
      <c r="H52" s="24" t="s">
        <v>1189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32.8" hidden="false" customHeight="false" outlineLevel="0" collapsed="false">
      <c r="A53" s="22" t="n">
        <v>52</v>
      </c>
      <c r="B53" s="24" t="s">
        <v>1083</v>
      </c>
      <c r="C53" s="24" t="s">
        <v>1190</v>
      </c>
      <c r="D53" s="24" t="s">
        <v>17</v>
      </c>
      <c r="E53" s="24" t="s">
        <v>1191</v>
      </c>
      <c r="F53" s="24" t="s">
        <v>1116</v>
      </c>
      <c r="G53" s="24" t="s">
        <v>1050</v>
      </c>
      <c r="H53" s="24" t="s">
        <v>1192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29" t="s">
        <v>1193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26" t="s">
        <v>1045</v>
      </c>
      <c r="B56" s="30" t="n">
        <f aca="false">COUNTIFS(B2:B53,"최우선")</f>
        <v>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26" t="s">
        <v>1062</v>
      </c>
      <c r="B57" s="30" t="n">
        <f aca="false">COUNTIFS(B2:B53,"높음")</f>
        <v>18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26" t="s">
        <v>1057</v>
      </c>
      <c r="B58" s="30" t="n">
        <f aca="false">COUNTIFS(B2:B53,"중")</f>
        <v>18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26" t="s">
        <v>1083</v>
      </c>
      <c r="B59" s="30" t="n">
        <f aca="false">COUNTIFS(B2:B53,"하")</f>
        <v>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7.15" hidden="false" customHeight="false" outlineLevel="0" collapsed="false">
      <c r="A60" s="26" t="s">
        <v>1194</v>
      </c>
      <c r="B60" s="30" t="n">
        <f aca="false">COUNTIF(G2:G53,"해소(0803)")+COUNTIF(G2:G53,"보류(0803)")+COUNTIF(G2:G53,"부분해소")+COUNTIF(G2:G53,"재정의(0803)")</f>
        <v>8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26" t="s">
        <v>1195</v>
      </c>
      <c r="B61" s="30" t="n">
        <f aca="false">COUNTIF(G2:G53,"미해결")</f>
        <v>44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15" hidden="false" customHeight="fals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15" hidden="false" customHeight="fals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15" hidden="false" customHeight="fals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15" hidden="false" customHeight="fals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15" hidden="false" customHeight="fals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15" hidden="false" customHeight="fals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15" hidden="false" customHeight="fals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15" hidden="false" customHeight="fals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15" hidden="false" customHeight="fals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15" hidden="false" customHeight="fals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15" hidden="false" customHeight="fals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15" hidden="false" customHeight="fals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15" hidden="false" customHeight="fals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15" hidden="false" customHeight="fals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15" hidden="false" customHeight="fals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15" hidden="false" customHeight="fals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15" hidden="false" customHeight="fals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15" hidden="false" customHeight="fals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15" hidden="false" customHeight="fals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15" hidden="false" customHeight="fals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15" hidden="false" customHeight="fals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15" hidden="false" customHeight="fals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15" hidden="false" customHeight="fals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15" hidden="false" customHeight="fals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15" hidden="false" customHeight="fals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15" hidden="false" customHeight="fals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15" hidden="false" customHeight="fals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15" hidden="false" customHeight="fals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15" hidden="false" customHeight="fals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15" hidden="false" customHeight="fals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15" hidden="false" customHeight="fals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15" hidden="false" customHeight="fals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15" hidden="false" customHeight="fals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15" hidden="false" customHeight="fals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15" hidden="false" customHeight="fals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15" hidden="false" customHeight="fals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15" hidden="false" customHeight="fals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15" hidden="false" customHeight="fals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5" hidden="false" customHeight="false" outlineLevel="0" collapsed="false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customFormat="false" ht="15" hidden="false" customHeight="false" outlineLevel="0" collapsed="false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customFormat="false" ht="15" hidden="false" customHeight="false" outlineLevel="0" collapsed="false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customFormat="false" ht="15" hidden="false" customHeight="false" outlineLevel="0" collapsed="false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customFormat="false" ht="15" hidden="false" customHeight="false" outlineLevel="0" collapsed="false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customFormat="false" ht="15" hidden="false" customHeight="false" outlineLevel="0" collapsed="false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customFormat="false" ht="15" hidden="false" customHeight="false" outlineLevel="0" collapsed="false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customFormat="false" ht="15" hidden="false" customHeight="false" outlineLevel="0" collapsed="false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customFormat="false" ht="15" hidden="false" customHeight="false" outlineLevel="0" collapsed="false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customFormat="false" ht="15" hidden="false" customHeight="false" outlineLevel="0" collapsed="false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customFormat="false" ht="15" hidden="false" customHeight="false" outlineLevel="0" collapsed="false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customFormat="false" ht="15" hidden="false" customHeight="false" outlineLevel="0" collapsed="false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customFormat="false" ht="15" hidden="false" customHeight="false" outlineLevel="0" collapsed="false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customFormat="false" ht="15" hidden="false" customHeight="false" outlineLevel="0" collapsed="false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customFormat="false" ht="15" hidden="false" customHeight="false" outlineLevel="0" collapsed="false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customFormat="false" ht="15" hidden="false" customHeight="false" outlineLevel="0" collapsed="false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customFormat="false" ht="15" hidden="false" customHeight="false" outlineLevel="0" collapsed="false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customFormat="false" ht="15" hidden="false" customHeight="false" outlineLevel="0" collapsed="false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customFormat="false" ht="15" hidden="false" customHeight="false" outlineLevel="0" collapsed="false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customFormat="false" ht="15" hidden="false" customHeight="false" outlineLevel="0" collapsed="false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customFormat="false" ht="15" hidden="false" customHeight="false" outlineLevel="0" collapsed="false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customFormat="false" ht="15" hidden="false" customHeight="false" outlineLevel="0" collapsed="false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customFormat="false" ht="15" hidden="false" customHeight="false" outlineLevel="0" collapsed="false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customFormat="false" ht="15" hidden="false" customHeight="false" outlineLevel="0" collapsed="false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customFormat="false" ht="15" hidden="false" customHeight="false" outlineLevel="0" collapsed="false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customFormat="false" ht="15" hidden="false" customHeight="false" outlineLevel="0" collapsed="false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customFormat="false" ht="15" hidden="false" customHeight="false" outlineLevel="0" collapsed="false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customFormat="false" ht="15" hidden="false" customHeight="false" outlineLevel="0" collapsed="false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customFormat="false" ht="15" hidden="false" customHeight="false" outlineLevel="0" collapsed="false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customFormat="false" ht="15" hidden="false" customHeight="false" outlineLevel="0" collapsed="false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customFormat="false" ht="15" hidden="false" customHeight="false" outlineLevel="0" collapsed="false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customFormat="false" ht="15" hidden="false" customHeight="false" outlineLevel="0" collapsed="false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customFormat="false" ht="15" hidden="false" customHeight="false" outlineLevel="0" collapsed="false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customFormat="false" ht="15" hidden="false" customHeight="false" outlineLevel="0" collapsed="false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customFormat="false" ht="15" hidden="false" customHeight="false" outlineLevel="0" collapsed="false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customFormat="false" ht="15" hidden="false" customHeight="false" outlineLevel="0" collapsed="false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customFormat="false" ht="15" hidden="false" customHeight="false" outlineLevel="0" collapsed="false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customFormat="false" ht="15" hidden="false" customHeight="false" outlineLevel="0" collapsed="false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customFormat="false" ht="15" hidden="false" customHeight="false" outlineLevel="0" collapsed="false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customFormat="false" ht="15" hidden="false" customHeight="false" outlineLevel="0" collapsed="false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customFormat="false" ht="15" hidden="false" customHeight="false" outlineLevel="0" collapsed="false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customFormat="false" ht="15" hidden="false" customHeight="false" outlineLevel="0" collapsed="false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customFormat="false" ht="15" hidden="false" customHeight="false" outlineLevel="0" collapsed="false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customFormat="false" ht="15" hidden="false" customHeight="false" outlineLevel="0" collapsed="false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customFormat="false" ht="15" hidden="false" customHeight="false" outlineLevel="0" collapsed="false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customFormat="false" ht="15" hidden="false" customHeight="false" outlineLevel="0" collapsed="false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customFormat="false" ht="15" hidden="false" customHeight="false" outlineLevel="0" collapsed="false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customFormat="false" ht="15" hidden="false" customHeight="false" outlineLevel="0" collapsed="false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customFormat="false" ht="15" hidden="false" customHeight="false" outlineLevel="0" collapsed="false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customFormat="false" ht="15" hidden="false" customHeight="false" outlineLevel="0" collapsed="false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customFormat="false" ht="15" hidden="false" customHeight="false" outlineLevel="0" collapsed="false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customFormat="false" ht="15" hidden="false" customHeight="false" outlineLevel="0" collapsed="false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customFormat="false" ht="15" hidden="false" customHeight="false" outlineLevel="0" collapsed="false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customFormat="false" ht="15" hidden="false" customHeight="false" outlineLevel="0" collapsed="false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customFormat="false" ht="15" hidden="false" customHeight="false" outlineLevel="0" collapsed="false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customFormat="false" ht="15" hidden="false" customHeight="false" outlineLevel="0" collapsed="false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customFormat="false" ht="15" hidden="false" customHeight="false" outlineLevel="0" collapsed="false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customFormat="false" ht="15" hidden="false" customHeight="false" outlineLevel="0" collapsed="false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customFormat="false" ht="15" hidden="false" customHeight="false" outlineLevel="0" collapsed="false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customFormat="false" ht="15" hidden="false" customHeight="false" outlineLevel="0" collapsed="false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customFormat="false" ht="15" hidden="false" customHeight="false" outlineLevel="0" collapsed="false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customFormat="false" ht="15" hidden="false" customHeight="false" outlineLevel="0" collapsed="false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customFormat="false" ht="15" hidden="false" customHeight="false" outlineLevel="0" collapsed="false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customFormat="false" ht="15" hidden="false" customHeight="false" outlineLevel="0" collapsed="false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customFormat="false" ht="15" hidden="false" customHeight="false" outlineLevel="0" collapsed="false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customFormat="false" ht="15" hidden="false" customHeight="false" outlineLevel="0" collapsed="false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customFormat="false" ht="15" hidden="false" customHeight="false" outlineLevel="0" collapsed="false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customFormat="false" ht="15" hidden="false" customHeight="false" outlineLevel="0" collapsed="false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customFormat="false" ht="15" hidden="false" customHeight="false" outlineLevel="0" collapsed="false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customFormat="false" ht="15" hidden="false" customHeight="false" outlineLevel="0" collapsed="false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customFormat="false" ht="15" hidden="false" customHeight="false" outlineLevel="0" collapsed="false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customFormat="false" ht="15" hidden="false" customHeight="false" outlineLevel="0" collapsed="false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customFormat="false" ht="15" hidden="false" customHeight="false" outlineLevel="0" collapsed="false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customFormat="false" ht="15" hidden="false" customHeight="false" outlineLevel="0" collapsed="false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customFormat="false" ht="15" hidden="false" customHeight="false" outlineLevel="0" collapsed="false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customFormat="false" ht="15" hidden="false" customHeight="false" outlineLevel="0" collapsed="false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customFormat="false" ht="15" hidden="false" customHeight="false" outlineLevel="0" collapsed="false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customFormat="false" ht="15" hidden="false" customHeight="false" outlineLevel="0" collapsed="false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customFormat="false" ht="15" hidden="false" customHeight="false" outlineLevel="0" collapsed="false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customFormat="false" ht="15" hidden="false" customHeight="false" outlineLevel="0" collapsed="false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customFormat="false" ht="15" hidden="false" customHeight="false" outlineLevel="0" collapsed="false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customFormat="false" ht="15" hidden="false" customHeight="false" outlineLevel="0" collapsed="false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customFormat="false" ht="15" hidden="false" customHeight="false" outlineLevel="0" collapsed="false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customFormat="false" ht="15" hidden="false" customHeight="false" outlineLevel="0" collapsed="false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customFormat="false" ht="15" hidden="false" customHeight="false" outlineLevel="0" collapsed="false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customFormat="false" ht="15" hidden="false" customHeight="false" outlineLevel="0" collapsed="false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customFormat="false" ht="15" hidden="false" customHeight="false" outlineLevel="0" collapsed="false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customFormat="false" ht="15" hidden="false" customHeight="false" outlineLevel="0" collapsed="false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customFormat="false" ht="15" hidden="false" customHeight="false" outlineLevel="0" collapsed="false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customFormat="false" ht="15" hidden="false" customHeight="false" outlineLevel="0" collapsed="false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customFormat="false" ht="15" hidden="false" customHeight="false" outlineLevel="0" collapsed="false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customFormat="false" ht="15" hidden="false" customHeight="false" outlineLevel="0" collapsed="false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customFormat="false" ht="15" hidden="false" customHeight="false" outlineLevel="0" collapsed="false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customFormat="false" ht="15" hidden="false" customHeight="false" outlineLevel="0" collapsed="false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customFormat="false" ht="15" hidden="false" customHeight="false" outlineLevel="0" collapsed="false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customFormat="false" ht="15" hidden="false" customHeight="false" outlineLevel="0" collapsed="false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customFormat="false" ht="15" hidden="false" customHeight="false" outlineLevel="0" collapsed="false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customFormat="false" ht="15" hidden="false" customHeight="false" outlineLevel="0" collapsed="false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customFormat="false" ht="15" hidden="false" customHeight="false" outlineLevel="0" collapsed="false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customFormat="false" ht="15" hidden="false" customHeight="false" outlineLevel="0" collapsed="false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customFormat="false" ht="15" hidden="false" customHeight="false" outlineLevel="0" collapsed="false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customFormat="false" ht="15" hidden="false" customHeight="false" outlineLevel="0" collapsed="false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customFormat="false" ht="15" hidden="false" customHeight="false" outlineLevel="0" collapsed="false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customFormat="false" ht="15" hidden="false" customHeight="false" outlineLevel="0" collapsed="false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customFormat="false" ht="15" hidden="false" customHeight="false" outlineLevel="0" collapsed="false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customFormat="false" ht="15" hidden="false" customHeight="false" outlineLevel="0" collapsed="false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customFormat="false" ht="15" hidden="false" customHeight="false" outlineLevel="0" collapsed="false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customFormat="false" ht="15" hidden="false" customHeight="false" outlineLevel="0" collapsed="false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customFormat="false" ht="15" hidden="false" customHeight="false" outlineLevel="0" collapsed="false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customFormat="false" ht="15" hidden="false" customHeight="false" outlineLevel="0" collapsed="false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customFormat="false" ht="15" hidden="false" customHeight="false" outlineLevel="0" collapsed="false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customFormat="false" ht="15" hidden="false" customHeight="false" outlineLevel="0" collapsed="false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customFormat="false" ht="15" hidden="false" customHeight="false" outlineLevel="0" collapsed="false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customFormat="false" ht="15" hidden="false" customHeight="false" outlineLevel="0" collapsed="false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customFormat="false" ht="15" hidden="false" customHeight="false" outlineLevel="0" collapsed="false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customFormat="false" ht="15" hidden="false" customHeight="false" outlineLevel="0" collapsed="false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customFormat="false" ht="15" hidden="false" customHeight="false" outlineLevel="0" collapsed="false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customFormat="false" ht="15" hidden="false" customHeight="false" outlineLevel="0" collapsed="false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customFormat="false" ht="15" hidden="false" customHeight="false" outlineLevel="0" collapsed="false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customFormat="false" ht="15" hidden="false" customHeight="false" outlineLevel="0" collapsed="false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customFormat="false" ht="15" hidden="false" customHeight="false" outlineLevel="0" collapsed="false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customFormat="false" ht="15" hidden="false" customHeight="false" outlineLevel="0" collapsed="false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customFormat="false" ht="15" hidden="false" customHeight="false" outlineLevel="0" collapsed="false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customFormat="false" ht="15" hidden="false" customHeight="false" outlineLevel="0" collapsed="false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customFormat="false" ht="15" hidden="false" customHeight="false" outlineLevel="0" collapsed="false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customFormat="false" ht="15" hidden="false" customHeight="false" outlineLevel="0" collapsed="false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customFormat="false" ht="15" hidden="false" customHeight="false" outlineLevel="0" collapsed="false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customFormat="false" ht="15" hidden="false" customHeight="false" outlineLevel="0" collapsed="false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customFormat="false" ht="15" hidden="false" customHeight="false" outlineLevel="0" collapsed="false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customFormat="false" ht="15" hidden="false" customHeight="false" outlineLevel="0" collapsed="false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customFormat="false" ht="15" hidden="false" customHeight="false" outlineLevel="0" collapsed="false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customFormat="false" ht="15" hidden="false" customHeight="false" outlineLevel="0" collapsed="false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customFormat="false" ht="15" hidden="false" customHeight="false" outlineLevel="0" collapsed="false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customFormat="false" ht="15" hidden="false" customHeight="false" outlineLevel="0" collapsed="false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customFormat="false" ht="15" hidden="false" customHeight="false" outlineLevel="0" collapsed="false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customFormat="false" ht="15" hidden="false" customHeight="false" outlineLevel="0" collapsed="false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customFormat="false" ht="15" hidden="false" customHeight="false" outlineLevel="0" collapsed="false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customFormat="false" ht="15" hidden="false" customHeight="false" outlineLevel="0" collapsed="false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customFormat="false" ht="15" hidden="false" customHeight="false" outlineLevel="0" collapsed="false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customFormat="false" ht="15" hidden="false" customHeight="false" outlineLevel="0" collapsed="false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customFormat="false" ht="15" hidden="false" customHeight="false" outlineLevel="0" collapsed="false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customFormat="false" ht="15" hidden="false" customHeight="false" outlineLevel="0" collapsed="false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customFormat="false" ht="15" hidden="false" customHeight="false" outlineLevel="0" collapsed="false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customFormat="false" ht="15" hidden="false" customHeight="false" outlineLevel="0" collapsed="false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customFormat="false" ht="15" hidden="false" customHeight="false" outlineLevel="0" collapsed="false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customFormat="false" ht="15" hidden="false" customHeight="false" outlineLevel="0" collapsed="false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customFormat="false" ht="15" hidden="false" customHeight="false" outlineLevel="0" collapsed="false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customFormat="false" ht="15" hidden="false" customHeight="false" outlineLevel="0" collapsed="false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customFormat="false" ht="15" hidden="false" customHeight="false" outlineLevel="0" collapsed="false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customFormat="false" ht="15" hidden="false" customHeight="false" outlineLevel="0" collapsed="false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customFormat="false" ht="15" hidden="false" customHeight="false" outlineLevel="0" collapsed="false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customFormat="false" ht="15" hidden="false" customHeight="false" outlineLevel="0" collapsed="false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customFormat="false" ht="15" hidden="false" customHeight="false" outlineLevel="0" collapsed="false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customFormat="false" ht="15" hidden="false" customHeight="false" outlineLevel="0" collapsed="false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customFormat="false" ht="15" hidden="false" customHeight="false" outlineLevel="0" collapsed="false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customFormat="false" ht="15" hidden="false" customHeight="false" outlineLevel="0" collapsed="false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customFormat="false" ht="15" hidden="false" customHeight="false" outlineLevel="0" collapsed="false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customFormat="false" ht="15" hidden="false" customHeight="false" outlineLevel="0" collapsed="false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customFormat="false" ht="15" hidden="false" customHeight="false" outlineLevel="0" collapsed="false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customFormat="false" ht="15" hidden="false" customHeight="false" outlineLevel="0" collapsed="false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customFormat="false" ht="15" hidden="false" customHeight="false" outlineLevel="0" collapsed="false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customFormat="false" ht="15" hidden="false" customHeight="false" outlineLevel="0" collapsed="false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customFormat="false" ht="15" hidden="false" customHeight="false" outlineLevel="0" collapsed="false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customFormat="false" ht="15" hidden="false" customHeight="false" outlineLevel="0" collapsed="false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customFormat="false" ht="15" hidden="false" customHeight="false" outlineLevel="0" collapsed="false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customFormat="false" ht="15" hidden="false" customHeight="false" outlineLevel="0" collapsed="false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customFormat="false" ht="15" hidden="false" customHeight="false" outlineLevel="0" collapsed="false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customFormat="false" ht="15" hidden="false" customHeight="false" outlineLevel="0" collapsed="false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customFormat="false" ht="15" hidden="false" customHeight="false" outlineLevel="0" collapsed="false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customFormat="false" ht="15" hidden="false" customHeight="false" outlineLevel="0" collapsed="false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customFormat="false" ht="15" hidden="false" customHeight="false" outlineLevel="0" collapsed="false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customFormat="false" ht="15" hidden="false" customHeight="false" outlineLevel="0" collapsed="false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customFormat="false" ht="15" hidden="false" customHeight="false" outlineLevel="0" collapsed="false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customFormat="false" ht="15" hidden="false" customHeight="false" outlineLevel="0" collapsed="false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customFormat="false" ht="15" hidden="false" customHeight="false" outlineLevel="0" collapsed="false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customFormat="false" ht="15" hidden="false" customHeight="false" outlineLevel="0" collapsed="false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customFormat="false" ht="15" hidden="false" customHeight="false" outlineLevel="0" collapsed="false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customFormat="false" ht="15" hidden="false" customHeight="false" outlineLevel="0" collapsed="false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customFormat="false" ht="15" hidden="false" customHeight="false" outlineLevel="0" collapsed="false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customFormat="false" ht="15" hidden="false" customHeight="false" outlineLevel="0" collapsed="false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customFormat="false" ht="15" hidden="false" customHeight="false" outlineLevel="0" collapsed="false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customFormat="false" ht="15" hidden="false" customHeight="false" outlineLevel="0" collapsed="false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customFormat="false" ht="15" hidden="false" customHeight="false" outlineLevel="0" collapsed="false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customFormat="false" ht="15" hidden="false" customHeight="false" outlineLevel="0" collapsed="false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customFormat="false" ht="15" hidden="false" customHeight="false" outlineLevel="0" collapsed="false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customFormat="false" ht="15" hidden="false" customHeight="false" outlineLevel="0" collapsed="false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customFormat="false" ht="15" hidden="false" customHeight="false" outlineLevel="0" collapsed="false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customFormat="false" ht="15" hidden="false" customHeight="false" outlineLevel="0" collapsed="false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customFormat="false" ht="15" hidden="false" customHeight="false" outlineLevel="0" collapsed="false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customFormat="false" ht="15" hidden="false" customHeight="false" outlineLevel="0" collapsed="false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customFormat="false" ht="15" hidden="false" customHeight="false" outlineLevel="0" collapsed="false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customFormat="false" ht="15" hidden="false" customHeight="false" outlineLevel="0" collapsed="false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customFormat="false" ht="15" hidden="false" customHeight="false" outlineLevel="0" collapsed="false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customFormat="false" ht="15" hidden="false" customHeight="false" outlineLevel="0" collapsed="false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customFormat="false" ht="15" hidden="false" customHeight="false" outlineLevel="0" collapsed="false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customFormat="false" ht="15" hidden="false" customHeight="false" outlineLevel="0" collapsed="false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customFormat="false" ht="15" hidden="false" customHeight="false" outlineLevel="0" collapsed="false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customFormat="false" ht="15" hidden="false" customHeight="false" outlineLevel="0" collapsed="false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customFormat="false" ht="15" hidden="false" customHeight="false" outlineLevel="0" collapsed="false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customFormat="false" ht="15" hidden="false" customHeight="false" outlineLevel="0" collapsed="false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customFormat="false" ht="15" hidden="false" customHeight="false" outlineLevel="0" collapsed="false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customFormat="false" ht="15" hidden="false" customHeight="false" outlineLevel="0" collapsed="false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customFormat="false" ht="15" hidden="false" customHeight="false" outlineLevel="0" collapsed="false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customFormat="false" ht="15" hidden="false" customHeight="false" outlineLevel="0" collapsed="false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customFormat="false" ht="15" hidden="false" customHeight="false" outlineLevel="0" collapsed="false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customFormat="false" ht="15" hidden="false" customHeight="false" outlineLevel="0" collapsed="false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customFormat="false" ht="15" hidden="false" customHeight="false" outlineLevel="0" collapsed="false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customFormat="false" ht="15" hidden="false" customHeight="false" outlineLevel="0" collapsed="false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customFormat="false" ht="15" hidden="false" customHeight="false" outlineLevel="0" collapsed="false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customFormat="false" ht="15" hidden="false" customHeight="false" outlineLevel="0" collapsed="false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customFormat="false" ht="15" hidden="false" customHeight="false" outlineLevel="0" collapsed="false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customFormat="false" ht="15" hidden="false" customHeight="false" outlineLevel="0" collapsed="false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customFormat="false" ht="15" hidden="false" customHeight="false" outlineLevel="0" collapsed="false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customFormat="false" ht="15" hidden="false" customHeight="false" outlineLevel="0" collapsed="false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customFormat="false" ht="15" hidden="false" customHeight="false" outlineLevel="0" collapsed="false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customFormat="false" ht="15" hidden="false" customHeight="false" outlineLevel="0" collapsed="false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customFormat="false" ht="15" hidden="false" customHeight="false" outlineLevel="0" collapsed="false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customFormat="false" ht="15" hidden="false" customHeight="false" outlineLevel="0" collapsed="false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customFormat="false" ht="15" hidden="false" customHeight="false" outlineLevel="0" collapsed="false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customFormat="false" ht="15" hidden="false" customHeight="false" outlineLevel="0" collapsed="false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customFormat="false" ht="15" hidden="false" customHeight="false" outlineLevel="0" collapsed="false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customFormat="false" ht="15" hidden="false" customHeight="false" outlineLevel="0" collapsed="false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customFormat="false" ht="15" hidden="false" customHeight="false" outlineLevel="0" collapsed="false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customFormat="false" ht="15" hidden="false" customHeight="false" outlineLevel="0" collapsed="false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customFormat="false" ht="15" hidden="false" customHeight="false" outlineLevel="0" collapsed="false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customFormat="false" ht="15" hidden="false" customHeight="false" outlineLevel="0" collapsed="false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customFormat="false" ht="15" hidden="false" customHeight="false" outlineLevel="0" collapsed="false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customFormat="false" ht="15" hidden="false" customHeight="false" outlineLevel="0" collapsed="false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customFormat="false" ht="15" hidden="false" customHeight="false" outlineLevel="0" collapsed="false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customFormat="false" ht="15" hidden="false" customHeight="false" outlineLevel="0" collapsed="false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customFormat="false" ht="15" hidden="false" customHeight="false" outlineLevel="0" collapsed="false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customFormat="false" ht="15" hidden="false" customHeight="false" outlineLevel="0" collapsed="false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customFormat="false" ht="15" hidden="false" customHeight="false" outlineLevel="0" collapsed="false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customFormat="false" ht="15" hidden="false" customHeight="false" outlineLevel="0" collapsed="false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customFormat="false" ht="15" hidden="false" customHeight="false" outlineLevel="0" collapsed="false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customFormat="false" ht="15" hidden="false" customHeight="false" outlineLevel="0" collapsed="false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customFormat="false" ht="15" hidden="false" customHeight="false" outlineLevel="0" collapsed="false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customFormat="false" ht="15" hidden="false" customHeight="false" outlineLevel="0" collapsed="false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customFormat="false" ht="15" hidden="false" customHeight="false" outlineLevel="0" collapsed="false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customFormat="false" ht="15" hidden="false" customHeight="false" outlineLevel="0" collapsed="false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customFormat="false" ht="15" hidden="false" customHeight="false" outlineLevel="0" collapsed="false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customFormat="false" ht="15" hidden="false" customHeight="false" outlineLevel="0" collapsed="false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customFormat="false" ht="15" hidden="false" customHeight="false" outlineLevel="0" collapsed="false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customFormat="false" ht="15" hidden="false" customHeight="false" outlineLevel="0" collapsed="false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customFormat="false" ht="15" hidden="false" customHeight="false" outlineLevel="0" collapsed="false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customFormat="false" ht="15" hidden="false" customHeight="false" outlineLevel="0" collapsed="false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customFormat="false" ht="15" hidden="false" customHeight="false" outlineLevel="0" collapsed="false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customFormat="false" ht="15" hidden="false" customHeight="false" outlineLevel="0" collapsed="false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customFormat="false" ht="15" hidden="false" customHeight="false" outlineLevel="0" collapsed="false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customFormat="false" ht="15" hidden="false" customHeight="false" outlineLevel="0" collapsed="false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customFormat="false" ht="15" hidden="false" customHeight="false" outlineLevel="0" collapsed="false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customFormat="false" ht="15" hidden="false" customHeight="false" outlineLevel="0" collapsed="false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customFormat="false" ht="15" hidden="false" customHeight="false" outlineLevel="0" collapsed="false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customFormat="false" ht="15" hidden="false" customHeight="false" outlineLevel="0" collapsed="false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customFormat="false" ht="15" hidden="false" customHeight="false" outlineLevel="0" collapsed="false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customFormat="false" ht="15" hidden="false" customHeight="false" outlineLevel="0" collapsed="false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customFormat="false" ht="15" hidden="false" customHeight="false" outlineLevel="0" collapsed="false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customFormat="false" ht="15" hidden="false" customHeight="false" outlineLevel="0" collapsed="false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customFormat="false" ht="15" hidden="false" customHeight="false" outlineLevel="0" collapsed="false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customFormat="false" ht="15" hidden="false" customHeight="false" outlineLevel="0" collapsed="false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customFormat="false" ht="15" hidden="false" customHeight="false" outlineLevel="0" collapsed="false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customFormat="false" ht="15" hidden="false" customHeight="false" outlineLevel="0" collapsed="false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customFormat="false" ht="15" hidden="false" customHeight="false" outlineLevel="0" collapsed="false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customFormat="false" ht="15" hidden="false" customHeight="false" outlineLevel="0" collapsed="false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customFormat="false" ht="15" hidden="false" customHeight="false" outlineLevel="0" collapsed="false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customFormat="false" ht="15" hidden="false" customHeight="false" outlineLevel="0" collapsed="false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customFormat="false" ht="15" hidden="false" customHeight="false" outlineLevel="0" collapsed="false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customFormat="false" ht="15" hidden="false" customHeight="false" outlineLevel="0" collapsed="false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customFormat="false" ht="15" hidden="false" customHeight="false" outlineLevel="0" collapsed="false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customFormat="false" ht="15" hidden="false" customHeight="false" outlineLevel="0" collapsed="false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customFormat="false" ht="15" hidden="false" customHeight="false" outlineLevel="0" collapsed="false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customFormat="false" ht="15" hidden="false" customHeight="false" outlineLevel="0" collapsed="false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customFormat="false" ht="15" hidden="false" customHeight="false" outlineLevel="0" collapsed="false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customFormat="false" ht="15" hidden="false" customHeight="false" outlineLevel="0" collapsed="false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customFormat="false" ht="15" hidden="false" customHeight="false" outlineLevel="0" collapsed="false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customFormat="false" ht="15" hidden="false" customHeight="false" outlineLevel="0" collapsed="false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customFormat="false" ht="15" hidden="false" customHeight="false" outlineLevel="0" collapsed="false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customFormat="false" ht="15" hidden="false" customHeight="false" outlineLevel="0" collapsed="false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customFormat="false" ht="15" hidden="false" customHeight="false" outlineLevel="0" collapsed="false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customFormat="false" ht="15" hidden="false" customHeight="false" outlineLevel="0" collapsed="false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customFormat="false" ht="15" hidden="false" customHeight="false" outlineLevel="0" collapsed="false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customFormat="false" ht="15" hidden="false" customHeight="false" outlineLevel="0" collapsed="false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customFormat="false" ht="15" hidden="false" customHeight="false" outlineLevel="0" collapsed="false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customFormat="false" ht="15" hidden="false" customHeight="false" outlineLevel="0" collapsed="false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customFormat="false" ht="15" hidden="false" customHeight="false" outlineLevel="0" collapsed="false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customFormat="false" ht="15" hidden="false" customHeight="false" outlineLevel="0" collapsed="false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customFormat="false" ht="15" hidden="false" customHeight="false" outlineLevel="0" collapsed="false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customFormat="false" ht="15" hidden="false" customHeight="false" outlineLevel="0" collapsed="false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customFormat="false" ht="15" hidden="false" customHeight="false" outlineLevel="0" collapsed="false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customFormat="false" ht="15" hidden="false" customHeight="false" outlineLevel="0" collapsed="false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customFormat="false" ht="15" hidden="false" customHeight="false" outlineLevel="0" collapsed="false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customFormat="false" ht="15" hidden="false" customHeight="false" outlineLevel="0" collapsed="false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customFormat="false" ht="15" hidden="false" customHeight="false" outlineLevel="0" collapsed="false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customFormat="false" ht="15" hidden="false" customHeight="false" outlineLevel="0" collapsed="false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customFormat="false" ht="15" hidden="false" customHeight="false" outlineLevel="0" collapsed="false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customFormat="false" ht="15" hidden="false" customHeight="false" outlineLevel="0" collapsed="false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customFormat="false" ht="15" hidden="false" customHeight="false" outlineLevel="0" collapsed="false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customFormat="false" ht="15" hidden="false" customHeight="false" outlineLevel="0" collapsed="false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customFormat="false" ht="15" hidden="false" customHeight="false" outlineLevel="0" collapsed="false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customFormat="false" ht="15" hidden="false" customHeight="false" outlineLevel="0" collapsed="false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customFormat="false" ht="15" hidden="false" customHeight="false" outlineLevel="0" collapsed="false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customFormat="false" ht="15" hidden="false" customHeight="false" outlineLevel="0" collapsed="false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customFormat="false" ht="15" hidden="false" customHeight="false" outlineLevel="0" collapsed="false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customFormat="false" ht="15" hidden="false" customHeight="false" outlineLevel="0" collapsed="false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customFormat="false" ht="15" hidden="false" customHeight="false" outlineLevel="0" collapsed="false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customFormat="false" ht="15" hidden="false" customHeight="false" outlineLevel="0" collapsed="false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customFormat="false" ht="15" hidden="false" customHeight="false" outlineLevel="0" collapsed="false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customFormat="false" ht="15" hidden="false" customHeight="false" outlineLevel="0" collapsed="false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customFormat="false" ht="15" hidden="false" customHeight="false" outlineLevel="0" collapsed="false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customFormat="false" ht="15" hidden="false" customHeight="false" outlineLevel="0" collapsed="false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customFormat="false" ht="15" hidden="false" customHeight="false" outlineLevel="0" collapsed="false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customFormat="false" ht="15" hidden="false" customHeight="false" outlineLevel="0" collapsed="false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customFormat="false" ht="15" hidden="false" customHeight="false" outlineLevel="0" collapsed="false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customFormat="false" ht="15" hidden="false" customHeight="false" outlineLevel="0" collapsed="false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customFormat="false" ht="15" hidden="false" customHeight="false" outlineLevel="0" collapsed="false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customFormat="false" ht="15" hidden="false" customHeight="false" outlineLevel="0" collapsed="false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customFormat="false" ht="15" hidden="false" customHeight="false" outlineLevel="0" collapsed="false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customFormat="false" ht="15" hidden="false" customHeight="false" outlineLevel="0" collapsed="false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customFormat="false" ht="15" hidden="false" customHeight="false" outlineLevel="0" collapsed="false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customFormat="false" ht="15" hidden="false" customHeight="false" outlineLevel="0" collapsed="false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customFormat="false" ht="15" hidden="false" customHeight="false" outlineLevel="0" collapsed="false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customFormat="false" ht="15" hidden="false" customHeight="false" outlineLevel="0" collapsed="false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customFormat="false" ht="15" hidden="false" customHeight="false" outlineLevel="0" collapsed="false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customFormat="false" ht="15" hidden="false" customHeight="false" outlineLevel="0" collapsed="false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customFormat="false" ht="15" hidden="false" customHeight="false" outlineLevel="0" collapsed="false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customFormat="false" ht="15" hidden="false" customHeight="false" outlineLevel="0" collapsed="false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customFormat="false" ht="15" hidden="false" customHeight="false" outlineLevel="0" collapsed="false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customFormat="false" ht="15" hidden="false" customHeight="false" outlineLevel="0" collapsed="false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customFormat="false" ht="15" hidden="false" customHeight="false" outlineLevel="0" collapsed="false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customFormat="false" ht="15" hidden="false" customHeight="false" outlineLevel="0" collapsed="false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customFormat="false" ht="15" hidden="false" customHeight="false" outlineLevel="0" collapsed="false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customFormat="false" ht="15" hidden="false" customHeight="false" outlineLevel="0" collapsed="false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customFormat="false" ht="15" hidden="false" customHeight="false" outlineLevel="0" collapsed="false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customFormat="false" ht="15" hidden="false" customHeight="false" outlineLevel="0" collapsed="false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customFormat="false" ht="15" hidden="false" customHeight="false" outlineLevel="0" collapsed="false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customFormat="false" ht="15" hidden="false" customHeight="false" outlineLevel="0" collapsed="false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customFormat="false" ht="15" hidden="false" customHeight="false" outlineLevel="0" collapsed="false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customFormat="false" ht="15" hidden="false" customHeight="false" outlineLevel="0" collapsed="false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customFormat="false" ht="15" hidden="false" customHeight="false" outlineLevel="0" collapsed="false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customFormat="false" ht="15" hidden="false" customHeight="false" outlineLevel="0" collapsed="false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customFormat="false" ht="15" hidden="false" customHeight="false" outlineLevel="0" collapsed="false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customFormat="false" ht="15" hidden="false" customHeight="false" outlineLevel="0" collapsed="false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customFormat="false" ht="15" hidden="false" customHeight="false" outlineLevel="0" collapsed="false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customFormat="false" ht="15" hidden="false" customHeight="false" outlineLevel="0" collapsed="false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customFormat="false" ht="15" hidden="false" customHeight="false" outlineLevel="0" collapsed="false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customFormat="false" ht="15" hidden="false" customHeight="false" outlineLevel="0" collapsed="false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customFormat="false" ht="15" hidden="false" customHeight="false" outlineLevel="0" collapsed="false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customFormat="false" ht="15" hidden="false" customHeight="false" outlineLevel="0" collapsed="false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customFormat="false" ht="15" hidden="false" customHeight="false" outlineLevel="0" collapsed="false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customFormat="false" ht="15" hidden="false" customHeight="false" outlineLevel="0" collapsed="false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customFormat="false" ht="15" hidden="false" customHeight="false" outlineLevel="0" collapsed="false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customFormat="false" ht="15" hidden="false" customHeight="false" outlineLevel="0" collapsed="false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customFormat="false" ht="15" hidden="false" customHeight="false" outlineLevel="0" collapsed="false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customFormat="false" ht="15" hidden="false" customHeight="false" outlineLevel="0" collapsed="false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customFormat="false" ht="15" hidden="false" customHeight="false" outlineLevel="0" collapsed="false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customFormat="false" ht="15" hidden="false" customHeight="false" outlineLevel="0" collapsed="false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customFormat="false" ht="15" hidden="false" customHeight="false" outlineLevel="0" collapsed="false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customFormat="false" ht="15" hidden="false" customHeight="false" outlineLevel="0" collapsed="false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customFormat="false" ht="15" hidden="false" customHeight="false" outlineLevel="0" collapsed="false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customFormat="false" ht="15" hidden="false" customHeight="false" outlineLevel="0" collapsed="false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customFormat="false" ht="15" hidden="false" customHeight="false" outlineLevel="0" collapsed="false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customFormat="false" ht="15" hidden="false" customHeight="false" outlineLevel="0" collapsed="false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customFormat="false" ht="15" hidden="false" customHeight="false" outlineLevel="0" collapsed="false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customFormat="false" ht="15" hidden="false" customHeight="false" outlineLevel="0" collapsed="false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customFormat="false" ht="15" hidden="false" customHeight="false" outlineLevel="0" collapsed="false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customFormat="false" ht="15" hidden="false" customHeight="false" outlineLevel="0" collapsed="false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customFormat="false" ht="15" hidden="false" customHeight="false" outlineLevel="0" collapsed="false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customFormat="false" ht="15" hidden="false" customHeight="false" outlineLevel="0" collapsed="false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customFormat="false" ht="15" hidden="false" customHeight="false" outlineLevel="0" collapsed="false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customFormat="false" ht="15" hidden="false" customHeight="false" outlineLevel="0" collapsed="false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customFormat="false" ht="15" hidden="false" customHeight="false" outlineLevel="0" collapsed="false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customFormat="false" ht="15" hidden="false" customHeight="false" outlineLevel="0" collapsed="false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customFormat="false" ht="15" hidden="false" customHeight="false" outlineLevel="0" collapsed="false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customFormat="false" ht="15" hidden="false" customHeight="false" outlineLevel="0" collapsed="false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customFormat="false" ht="15" hidden="false" customHeight="false" outlineLevel="0" collapsed="false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customFormat="false" ht="15" hidden="false" customHeight="false" outlineLevel="0" collapsed="false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customFormat="false" ht="15" hidden="false" customHeight="false" outlineLevel="0" collapsed="false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customFormat="false" ht="15" hidden="false" customHeight="false" outlineLevel="0" collapsed="false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customFormat="false" ht="15" hidden="false" customHeight="false" outlineLevel="0" collapsed="false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customFormat="false" ht="15" hidden="false" customHeight="false" outlineLevel="0" collapsed="false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customFormat="false" ht="15" hidden="false" customHeight="false" outlineLevel="0" collapsed="false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customFormat="false" ht="15" hidden="false" customHeight="false" outlineLevel="0" collapsed="false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customFormat="false" ht="15" hidden="false" customHeight="false" outlineLevel="0" collapsed="false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customFormat="false" ht="15" hidden="false" customHeight="false" outlineLevel="0" collapsed="false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customFormat="false" ht="15" hidden="false" customHeight="false" outlineLevel="0" collapsed="false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customFormat="false" ht="15" hidden="false" customHeight="false" outlineLevel="0" collapsed="false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customFormat="false" ht="15" hidden="false" customHeight="false" outlineLevel="0" collapsed="false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customFormat="false" ht="15" hidden="false" customHeight="false" outlineLevel="0" collapsed="false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customFormat="false" ht="15" hidden="false" customHeight="false" outlineLevel="0" collapsed="false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customFormat="false" ht="15" hidden="false" customHeight="false" outlineLevel="0" collapsed="false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customFormat="false" ht="15" hidden="false" customHeight="false" outlineLevel="0" collapsed="false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customFormat="false" ht="15" hidden="false" customHeight="false" outlineLevel="0" collapsed="false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customFormat="false" ht="15" hidden="false" customHeight="false" outlineLevel="0" collapsed="false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customFormat="false" ht="15" hidden="false" customHeight="false" outlineLevel="0" collapsed="false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customFormat="false" ht="15" hidden="false" customHeight="false" outlineLevel="0" collapsed="false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customFormat="false" ht="15" hidden="false" customHeight="false" outlineLevel="0" collapsed="false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customFormat="false" ht="15" hidden="false" customHeight="false" outlineLevel="0" collapsed="false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customFormat="false" ht="15" hidden="false" customHeight="false" outlineLevel="0" collapsed="false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customFormat="false" ht="15" hidden="false" customHeight="false" outlineLevel="0" collapsed="false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customFormat="false" ht="15" hidden="false" customHeight="false" outlineLevel="0" collapsed="false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customFormat="false" ht="15" hidden="false" customHeight="false" outlineLevel="0" collapsed="false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customFormat="false" ht="15" hidden="false" customHeight="false" outlineLevel="0" collapsed="false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customFormat="false" ht="15" hidden="false" customHeight="false" outlineLevel="0" collapsed="false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customFormat="false" ht="15" hidden="false" customHeight="false" outlineLevel="0" collapsed="false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customFormat="false" ht="15" hidden="false" customHeight="false" outlineLevel="0" collapsed="false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customFormat="false" ht="15" hidden="false" customHeight="false" outlineLevel="0" collapsed="false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customFormat="false" ht="15" hidden="false" customHeight="false" outlineLevel="0" collapsed="false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customFormat="false" ht="15" hidden="false" customHeight="false" outlineLevel="0" collapsed="false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customFormat="false" ht="15" hidden="false" customHeight="false" outlineLevel="0" collapsed="false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customFormat="false" ht="15" hidden="false" customHeight="false" outlineLevel="0" collapsed="false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customFormat="false" ht="15" hidden="false" customHeight="false" outlineLevel="0" collapsed="false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customFormat="false" ht="15" hidden="false" customHeight="false" outlineLevel="0" collapsed="false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customFormat="false" ht="15" hidden="false" customHeight="false" outlineLevel="0" collapsed="false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customFormat="false" ht="15" hidden="false" customHeight="false" outlineLevel="0" collapsed="false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customFormat="false" ht="15" hidden="false" customHeight="false" outlineLevel="0" collapsed="false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customFormat="false" ht="15" hidden="false" customHeight="false" outlineLevel="0" collapsed="false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customFormat="false" ht="15" hidden="false" customHeight="false" outlineLevel="0" collapsed="false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customFormat="false" ht="15" hidden="false" customHeight="false" outlineLevel="0" collapsed="false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customFormat="false" ht="15" hidden="false" customHeight="false" outlineLevel="0" collapsed="false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customFormat="false" ht="15" hidden="false" customHeight="false" outlineLevel="0" collapsed="false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customFormat="false" ht="15" hidden="false" customHeight="false" outlineLevel="0" collapsed="false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customFormat="false" ht="15" hidden="false" customHeight="false" outlineLevel="0" collapsed="false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customFormat="false" ht="15" hidden="false" customHeight="false" outlineLevel="0" collapsed="false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customFormat="false" ht="15" hidden="false" customHeight="false" outlineLevel="0" collapsed="false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customFormat="false" ht="15" hidden="false" customHeight="false" outlineLevel="0" collapsed="false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customFormat="false" ht="15" hidden="false" customHeight="false" outlineLevel="0" collapsed="false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customFormat="false" ht="15" hidden="false" customHeight="false" outlineLevel="0" collapsed="false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customFormat="false" ht="15" hidden="false" customHeight="false" outlineLevel="0" collapsed="false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customFormat="false" ht="15" hidden="false" customHeight="false" outlineLevel="0" collapsed="false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customFormat="false" ht="15" hidden="false" customHeight="false" outlineLevel="0" collapsed="false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customFormat="false" ht="15" hidden="false" customHeight="false" outlineLevel="0" collapsed="false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customFormat="false" ht="15" hidden="false" customHeight="false" outlineLevel="0" collapsed="false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customFormat="false" ht="15" hidden="false" customHeight="false" outlineLevel="0" collapsed="false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customFormat="false" ht="15" hidden="false" customHeight="false" outlineLevel="0" collapsed="false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customFormat="false" ht="15" hidden="false" customHeight="false" outlineLevel="0" collapsed="false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customFormat="false" ht="15" hidden="false" customHeight="false" outlineLevel="0" collapsed="false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customFormat="false" ht="15" hidden="false" customHeight="false" outlineLevel="0" collapsed="false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customFormat="false" ht="15" hidden="false" customHeight="false" outlineLevel="0" collapsed="false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customFormat="false" ht="15" hidden="false" customHeight="false" outlineLevel="0" collapsed="false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customFormat="false" ht="15" hidden="false" customHeight="false" outlineLevel="0" collapsed="false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customFormat="false" ht="15" hidden="false" customHeight="false" outlineLevel="0" collapsed="false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customFormat="false" ht="15" hidden="false" customHeight="false" outlineLevel="0" collapsed="false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customFormat="false" ht="15" hidden="false" customHeight="false" outlineLevel="0" collapsed="false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customFormat="false" ht="15" hidden="false" customHeight="false" outlineLevel="0" collapsed="false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customFormat="false" ht="15" hidden="false" customHeight="false" outlineLevel="0" collapsed="false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customFormat="false" ht="15" hidden="false" customHeight="false" outlineLevel="0" collapsed="false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customFormat="false" ht="15" hidden="false" customHeight="false" outlineLevel="0" collapsed="false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customFormat="false" ht="15" hidden="false" customHeight="false" outlineLevel="0" collapsed="false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customFormat="false" ht="15" hidden="false" customHeight="false" outlineLevel="0" collapsed="false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customFormat="false" ht="15" hidden="false" customHeight="false" outlineLevel="0" collapsed="false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customFormat="false" ht="15" hidden="false" customHeight="false" outlineLevel="0" collapsed="false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customFormat="false" ht="15" hidden="false" customHeight="false" outlineLevel="0" collapsed="false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customFormat="false" ht="15" hidden="false" customHeight="false" outlineLevel="0" collapsed="false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customFormat="false" ht="15" hidden="false" customHeight="false" outlineLevel="0" collapsed="false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customFormat="false" ht="15" hidden="false" customHeight="false" outlineLevel="0" collapsed="false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customFormat="false" ht="15" hidden="false" customHeight="false" outlineLevel="0" collapsed="false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customFormat="false" ht="15" hidden="false" customHeight="false" outlineLevel="0" collapsed="false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customFormat="false" ht="15" hidden="false" customHeight="false" outlineLevel="0" collapsed="false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customFormat="false" ht="15" hidden="false" customHeight="false" outlineLevel="0" collapsed="false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customFormat="false" ht="15" hidden="false" customHeight="false" outlineLevel="0" collapsed="false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customFormat="false" ht="15" hidden="false" customHeight="false" outlineLevel="0" collapsed="false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customFormat="false" ht="15" hidden="false" customHeight="false" outlineLevel="0" collapsed="false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customFormat="false" ht="15" hidden="false" customHeight="false" outlineLevel="0" collapsed="false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customFormat="false" ht="15" hidden="false" customHeight="false" outlineLevel="0" collapsed="false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customFormat="false" ht="15" hidden="false" customHeight="false" outlineLevel="0" collapsed="false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customFormat="false" ht="15" hidden="false" customHeight="false" outlineLevel="0" collapsed="false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customFormat="false" ht="15" hidden="false" customHeight="false" outlineLevel="0" collapsed="false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customFormat="false" ht="15" hidden="false" customHeight="false" outlineLevel="0" collapsed="false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customFormat="false" ht="15" hidden="false" customHeight="false" outlineLevel="0" collapsed="false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customFormat="false" ht="15" hidden="false" customHeight="false" outlineLevel="0" collapsed="false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customFormat="false" ht="15" hidden="false" customHeight="false" outlineLevel="0" collapsed="false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customFormat="false" ht="15" hidden="false" customHeight="false" outlineLevel="0" collapsed="false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customFormat="false" ht="15" hidden="false" customHeight="false" outlineLevel="0" collapsed="false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customFormat="false" ht="15" hidden="false" customHeight="false" outlineLevel="0" collapsed="false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customFormat="false" ht="15" hidden="false" customHeight="false" outlineLevel="0" collapsed="false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customFormat="false" ht="15" hidden="false" customHeight="false" outlineLevel="0" collapsed="false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customFormat="false" ht="15" hidden="false" customHeight="false" outlineLevel="0" collapsed="false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customFormat="false" ht="15" hidden="false" customHeight="false" outlineLevel="0" collapsed="false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customFormat="false" ht="15" hidden="false" customHeight="false" outlineLevel="0" collapsed="false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customFormat="false" ht="15" hidden="false" customHeight="false" outlineLevel="0" collapsed="false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customFormat="false" ht="15" hidden="false" customHeight="false" outlineLevel="0" collapsed="false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customFormat="false" ht="15" hidden="false" customHeight="false" outlineLevel="0" collapsed="false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customFormat="false" ht="15" hidden="false" customHeight="false" outlineLevel="0" collapsed="false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customFormat="false" ht="15" hidden="false" customHeight="false" outlineLevel="0" collapsed="false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customFormat="false" ht="15" hidden="false" customHeight="false" outlineLevel="0" collapsed="false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customFormat="false" ht="15" hidden="false" customHeight="false" outlineLevel="0" collapsed="false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customFormat="false" ht="15" hidden="false" customHeight="false" outlineLevel="0" collapsed="false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customFormat="false" ht="15" hidden="false" customHeight="false" outlineLevel="0" collapsed="false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customFormat="false" ht="15" hidden="false" customHeight="false" outlineLevel="0" collapsed="false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customFormat="false" ht="15" hidden="false" customHeight="false" outlineLevel="0" collapsed="false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customFormat="false" ht="15" hidden="false" customHeight="false" outlineLevel="0" collapsed="false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customFormat="false" ht="15" hidden="false" customHeight="false" outlineLevel="0" collapsed="false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customFormat="false" ht="15" hidden="false" customHeight="false" outlineLevel="0" collapsed="false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customFormat="false" ht="15" hidden="false" customHeight="false" outlineLevel="0" collapsed="false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customFormat="false" ht="15" hidden="false" customHeight="false" outlineLevel="0" collapsed="false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customFormat="false" ht="15" hidden="false" customHeight="false" outlineLevel="0" collapsed="false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customFormat="false" ht="15" hidden="false" customHeight="false" outlineLevel="0" collapsed="false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customFormat="false" ht="15" hidden="false" customHeight="false" outlineLevel="0" collapsed="false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customFormat="false" ht="15" hidden="false" customHeight="false" outlineLevel="0" collapsed="false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customFormat="false" ht="15" hidden="false" customHeight="false" outlineLevel="0" collapsed="false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customFormat="false" ht="15" hidden="false" customHeight="false" outlineLevel="0" collapsed="false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customFormat="false" ht="15" hidden="false" customHeight="false" outlineLevel="0" collapsed="false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customFormat="false" ht="15" hidden="false" customHeight="false" outlineLevel="0" collapsed="false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customFormat="false" ht="15" hidden="false" customHeight="false" outlineLevel="0" collapsed="false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customFormat="false" ht="15" hidden="false" customHeight="false" outlineLevel="0" collapsed="false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customFormat="false" ht="15" hidden="false" customHeight="false" outlineLevel="0" collapsed="false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customFormat="false" ht="15" hidden="false" customHeight="false" outlineLevel="0" collapsed="false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customFormat="false" ht="15" hidden="false" customHeight="false" outlineLevel="0" collapsed="false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customFormat="false" ht="15" hidden="false" customHeight="false" outlineLevel="0" collapsed="false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customFormat="false" ht="15" hidden="false" customHeight="false" outlineLevel="0" collapsed="false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customFormat="false" ht="15" hidden="false" customHeight="false" outlineLevel="0" collapsed="false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customFormat="false" ht="15" hidden="false" customHeight="false" outlineLevel="0" collapsed="false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customFormat="false" ht="15" hidden="false" customHeight="false" outlineLevel="0" collapsed="false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customFormat="false" ht="15" hidden="false" customHeight="false" outlineLevel="0" collapsed="false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customFormat="false" ht="15" hidden="false" customHeight="false" outlineLevel="0" collapsed="false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customFormat="false" ht="15" hidden="false" customHeight="false" outlineLevel="0" collapsed="false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customFormat="false" ht="15" hidden="false" customHeight="false" outlineLevel="0" collapsed="false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customFormat="false" ht="15" hidden="false" customHeight="false" outlineLevel="0" collapsed="false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customFormat="false" ht="15" hidden="false" customHeight="false" outlineLevel="0" collapsed="false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customFormat="false" ht="15" hidden="false" customHeight="false" outlineLevel="0" collapsed="false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customFormat="false" ht="15" hidden="false" customHeight="false" outlineLevel="0" collapsed="false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customFormat="false" ht="15" hidden="false" customHeight="false" outlineLevel="0" collapsed="false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customFormat="false" ht="15" hidden="false" customHeight="false" outlineLevel="0" collapsed="false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customFormat="false" ht="15" hidden="false" customHeight="false" outlineLevel="0" collapsed="false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customFormat="false" ht="15" hidden="false" customHeight="false" outlineLevel="0" collapsed="false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customFormat="false" ht="15" hidden="false" customHeight="false" outlineLevel="0" collapsed="false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customFormat="false" ht="15" hidden="false" customHeight="false" outlineLevel="0" collapsed="false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customFormat="false" ht="15" hidden="false" customHeight="false" outlineLevel="0" collapsed="false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customFormat="false" ht="15" hidden="false" customHeight="false" outlineLevel="0" collapsed="false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customFormat="false" ht="15" hidden="false" customHeight="false" outlineLevel="0" collapsed="false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customFormat="false" ht="15" hidden="false" customHeight="false" outlineLevel="0" collapsed="false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customFormat="false" ht="15" hidden="false" customHeight="false" outlineLevel="0" collapsed="false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customFormat="false" ht="15" hidden="false" customHeight="false" outlineLevel="0" collapsed="false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customFormat="false" ht="15" hidden="false" customHeight="false" outlineLevel="0" collapsed="false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customFormat="false" ht="15" hidden="false" customHeight="false" outlineLevel="0" collapsed="false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customFormat="false" ht="15" hidden="false" customHeight="false" outlineLevel="0" collapsed="false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customFormat="false" ht="15" hidden="false" customHeight="false" outlineLevel="0" collapsed="false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customFormat="false" ht="15" hidden="false" customHeight="false" outlineLevel="0" collapsed="false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customFormat="false" ht="15" hidden="false" customHeight="false" outlineLevel="0" collapsed="false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customFormat="false" ht="15" hidden="false" customHeight="false" outlineLevel="0" collapsed="false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customFormat="false" ht="15" hidden="false" customHeight="false" outlineLevel="0" collapsed="false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customFormat="false" ht="15" hidden="false" customHeight="false" outlineLevel="0" collapsed="false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customFormat="false" ht="15" hidden="false" customHeight="false" outlineLevel="0" collapsed="false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customFormat="false" ht="15" hidden="false" customHeight="false" outlineLevel="0" collapsed="false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customFormat="false" ht="15" hidden="false" customHeight="false" outlineLevel="0" collapsed="false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customFormat="false" ht="15" hidden="false" customHeight="false" outlineLevel="0" collapsed="false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customFormat="false" ht="15" hidden="false" customHeight="false" outlineLevel="0" collapsed="false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customFormat="false" ht="15" hidden="false" customHeight="false" outlineLevel="0" collapsed="false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customFormat="false" ht="15" hidden="false" customHeight="false" outlineLevel="0" collapsed="false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customFormat="false" ht="15" hidden="false" customHeight="false" outlineLevel="0" collapsed="false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customFormat="false" ht="15" hidden="false" customHeight="false" outlineLevel="0" collapsed="false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customFormat="false" ht="15" hidden="false" customHeight="false" outlineLevel="0" collapsed="false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customFormat="false" ht="15" hidden="false" customHeight="false" outlineLevel="0" collapsed="false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customFormat="false" ht="15" hidden="false" customHeight="false" outlineLevel="0" collapsed="false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customFormat="false" ht="15" hidden="false" customHeight="false" outlineLevel="0" collapsed="false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customFormat="false" ht="15" hidden="false" customHeight="false" outlineLevel="0" collapsed="false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customFormat="false" ht="15" hidden="false" customHeight="false" outlineLevel="0" collapsed="false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customFormat="false" ht="15" hidden="false" customHeight="false" outlineLevel="0" collapsed="false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customFormat="false" ht="15" hidden="false" customHeight="false" outlineLevel="0" collapsed="false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customFormat="false" ht="15" hidden="false" customHeight="false" outlineLevel="0" collapsed="false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customFormat="false" ht="15" hidden="false" customHeight="false" outlineLevel="0" collapsed="false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customFormat="false" ht="15" hidden="false" customHeight="false" outlineLevel="0" collapsed="false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customFormat="false" ht="15" hidden="false" customHeight="false" outlineLevel="0" collapsed="false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customFormat="false" ht="15" hidden="false" customHeight="false" outlineLevel="0" collapsed="false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customFormat="false" ht="15" hidden="false" customHeight="false" outlineLevel="0" collapsed="false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customFormat="false" ht="15" hidden="false" customHeight="false" outlineLevel="0" collapsed="false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customFormat="false" ht="15" hidden="false" customHeight="false" outlineLevel="0" collapsed="false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customFormat="false" ht="15" hidden="false" customHeight="false" outlineLevel="0" collapsed="false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customFormat="false" ht="15" hidden="false" customHeight="false" outlineLevel="0" collapsed="false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customFormat="false" ht="15" hidden="false" customHeight="false" outlineLevel="0" collapsed="false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customFormat="false" ht="15" hidden="false" customHeight="false" outlineLevel="0" collapsed="false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customFormat="false" ht="15" hidden="false" customHeight="false" outlineLevel="0" collapsed="false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customFormat="false" ht="15" hidden="false" customHeight="false" outlineLevel="0" collapsed="false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customFormat="false" ht="15" hidden="false" customHeight="false" outlineLevel="0" collapsed="false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customFormat="false" ht="15" hidden="false" customHeight="false" outlineLevel="0" collapsed="false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customFormat="false" ht="15" hidden="false" customHeight="false" outlineLevel="0" collapsed="false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customFormat="false" ht="15" hidden="false" customHeight="false" outlineLevel="0" collapsed="false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customFormat="false" ht="15" hidden="false" customHeight="false" outlineLevel="0" collapsed="false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customFormat="false" ht="15" hidden="false" customHeight="false" outlineLevel="0" collapsed="false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customFormat="false" ht="15" hidden="false" customHeight="false" outlineLevel="0" collapsed="false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customFormat="false" ht="15" hidden="false" customHeight="false" outlineLevel="0" collapsed="false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customFormat="false" ht="15" hidden="false" customHeight="false" outlineLevel="0" collapsed="false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customFormat="false" ht="15" hidden="false" customHeight="false" outlineLevel="0" collapsed="false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customFormat="false" ht="15" hidden="false" customHeight="false" outlineLevel="0" collapsed="false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customFormat="false" ht="15" hidden="false" customHeight="false" outlineLevel="0" collapsed="false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customFormat="false" ht="15" hidden="false" customHeight="false" outlineLevel="0" collapsed="false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customFormat="false" ht="15" hidden="false" customHeight="false" outlineLevel="0" collapsed="false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customFormat="false" ht="15" hidden="false" customHeight="false" outlineLevel="0" collapsed="false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customFormat="false" ht="15" hidden="false" customHeight="false" outlineLevel="0" collapsed="false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customFormat="false" ht="15" hidden="false" customHeight="false" outlineLevel="0" collapsed="false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customFormat="false" ht="15" hidden="false" customHeight="false" outlineLevel="0" collapsed="false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customFormat="false" ht="15" hidden="false" customHeight="false" outlineLevel="0" collapsed="false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customFormat="false" ht="15" hidden="false" customHeight="false" outlineLevel="0" collapsed="false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customFormat="false" ht="15" hidden="false" customHeight="false" outlineLevel="0" collapsed="false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customFormat="false" ht="15" hidden="false" customHeight="false" outlineLevel="0" collapsed="false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customFormat="false" ht="15" hidden="false" customHeight="false" outlineLevel="0" collapsed="false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customFormat="false" ht="15" hidden="false" customHeight="false" outlineLevel="0" collapsed="false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customFormat="false" ht="15" hidden="false" customHeight="false" outlineLevel="0" collapsed="false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customFormat="false" ht="15" hidden="false" customHeight="false" outlineLevel="0" collapsed="false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customFormat="false" ht="15" hidden="false" customHeight="false" outlineLevel="0" collapsed="false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customFormat="false" ht="15" hidden="false" customHeight="false" outlineLevel="0" collapsed="false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customFormat="false" ht="15" hidden="false" customHeight="false" outlineLevel="0" collapsed="false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customFormat="false" ht="15" hidden="false" customHeight="false" outlineLevel="0" collapsed="false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customFormat="false" ht="15" hidden="false" customHeight="false" outlineLevel="0" collapsed="false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customFormat="false" ht="15" hidden="false" customHeight="false" outlineLevel="0" collapsed="false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customFormat="false" ht="15" hidden="false" customHeight="false" outlineLevel="0" collapsed="false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customFormat="false" ht="15" hidden="false" customHeight="false" outlineLevel="0" collapsed="false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customFormat="false" ht="15" hidden="false" customHeight="false" outlineLevel="0" collapsed="false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customFormat="false" ht="15" hidden="false" customHeight="false" outlineLevel="0" collapsed="false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customFormat="false" ht="15" hidden="false" customHeight="false" outlineLevel="0" collapsed="false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customFormat="false" ht="15" hidden="false" customHeight="false" outlineLevel="0" collapsed="false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customFormat="false" ht="15" hidden="false" customHeight="false" outlineLevel="0" collapsed="false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customFormat="false" ht="15" hidden="false" customHeight="false" outlineLevel="0" collapsed="false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customFormat="false" ht="15" hidden="false" customHeight="false" outlineLevel="0" collapsed="false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customFormat="false" ht="15" hidden="false" customHeight="false" outlineLevel="0" collapsed="false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customFormat="false" ht="15" hidden="false" customHeight="false" outlineLevel="0" collapsed="false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customFormat="false" ht="15" hidden="false" customHeight="false" outlineLevel="0" collapsed="false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customFormat="false" ht="15" hidden="false" customHeight="false" outlineLevel="0" collapsed="false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customFormat="false" ht="15" hidden="false" customHeight="false" outlineLevel="0" collapsed="false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customFormat="false" ht="15" hidden="false" customHeight="false" outlineLevel="0" collapsed="false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customFormat="false" ht="15" hidden="false" customHeight="false" outlineLevel="0" collapsed="false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customFormat="false" ht="15" hidden="false" customHeight="false" outlineLevel="0" collapsed="false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customFormat="false" ht="15" hidden="false" customHeight="false" outlineLevel="0" collapsed="false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customFormat="false" ht="15" hidden="false" customHeight="false" outlineLevel="0" collapsed="false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customFormat="false" ht="15" hidden="false" customHeight="false" outlineLevel="0" collapsed="false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customFormat="false" ht="15" hidden="false" customHeight="false" outlineLevel="0" collapsed="false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customFormat="false" ht="15" hidden="false" customHeight="false" outlineLevel="0" collapsed="false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customFormat="false" ht="15" hidden="false" customHeight="false" outlineLevel="0" collapsed="false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customFormat="false" ht="15" hidden="false" customHeight="false" outlineLevel="0" collapsed="false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customFormat="false" ht="15" hidden="false" customHeight="false" outlineLevel="0" collapsed="false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customFormat="false" ht="15" hidden="false" customHeight="false" outlineLevel="0" collapsed="false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customFormat="false" ht="15" hidden="false" customHeight="false" outlineLevel="0" collapsed="false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customFormat="false" ht="15" hidden="false" customHeight="false" outlineLevel="0" collapsed="false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customFormat="false" ht="15" hidden="false" customHeight="false" outlineLevel="0" collapsed="false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customFormat="false" ht="15" hidden="false" customHeight="false" outlineLevel="0" collapsed="false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customFormat="false" ht="15" hidden="false" customHeight="false" outlineLevel="0" collapsed="false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customFormat="false" ht="15" hidden="false" customHeight="false" outlineLevel="0" collapsed="false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customFormat="false" ht="15" hidden="false" customHeight="false" outlineLevel="0" collapsed="false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customFormat="false" ht="15" hidden="false" customHeight="false" outlineLevel="0" collapsed="false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customFormat="false" ht="15" hidden="false" customHeight="false" outlineLevel="0" collapsed="false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customFormat="false" ht="15" hidden="false" customHeight="false" outlineLevel="0" collapsed="false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customFormat="false" ht="15" hidden="false" customHeight="false" outlineLevel="0" collapsed="false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customFormat="false" ht="15" hidden="false" customHeight="false" outlineLevel="0" collapsed="false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customFormat="false" ht="15" hidden="false" customHeight="false" outlineLevel="0" collapsed="false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customFormat="false" ht="15" hidden="false" customHeight="false" outlineLevel="0" collapsed="false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customFormat="false" ht="15" hidden="false" customHeight="false" outlineLevel="0" collapsed="false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customFormat="false" ht="15" hidden="false" customHeight="false" outlineLevel="0" collapsed="false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customFormat="false" ht="15" hidden="false" customHeight="false" outlineLevel="0" collapsed="false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customFormat="false" ht="15" hidden="false" customHeight="false" outlineLevel="0" collapsed="false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customFormat="false" ht="15" hidden="false" customHeight="false" outlineLevel="0" collapsed="false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customFormat="false" ht="15" hidden="false" customHeight="false" outlineLevel="0" collapsed="false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customFormat="false" ht="15" hidden="false" customHeight="false" outlineLevel="0" collapsed="false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customFormat="false" ht="15" hidden="false" customHeight="false" outlineLevel="0" collapsed="false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customFormat="false" ht="15" hidden="false" customHeight="false" outlineLevel="0" collapsed="false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customFormat="false" ht="15" hidden="false" customHeight="false" outlineLevel="0" collapsed="false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customFormat="false" ht="15" hidden="false" customHeight="false" outlineLevel="0" collapsed="false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customFormat="false" ht="15" hidden="false" customHeight="false" outlineLevel="0" collapsed="false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customFormat="false" ht="15" hidden="false" customHeight="false" outlineLevel="0" collapsed="false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customFormat="false" ht="15" hidden="false" customHeight="false" outlineLevel="0" collapsed="false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customFormat="false" ht="15" hidden="false" customHeight="false" outlineLevel="0" collapsed="false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customFormat="false" ht="15" hidden="false" customHeight="false" outlineLevel="0" collapsed="false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customFormat="false" ht="15" hidden="false" customHeight="false" outlineLevel="0" collapsed="false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customFormat="false" ht="15" hidden="false" customHeight="false" outlineLevel="0" collapsed="false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customFormat="false" ht="15" hidden="false" customHeight="false" outlineLevel="0" collapsed="false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customFormat="false" ht="15" hidden="false" customHeight="false" outlineLevel="0" collapsed="false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customFormat="false" ht="15" hidden="false" customHeight="false" outlineLevel="0" collapsed="false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customFormat="false" ht="15" hidden="false" customHeight="false" outlineLevel="0" collapsed="false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customFormat="false" ht="15" hidden="false" customHeight="false" outlineLevel="0" collapsed="false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customFormat="false" ht="15" hidden="false" customHeight="false" outlineLevel="0" collapsed="false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customFormat="false" ht="15" hidden="false" customHeight="false" outlineLevel="0" collapsed="false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customFormat="false" ht="15" hidden="false" customHeight="false" outlineLevel="0" collapsed="false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customFormat="false" ht="15" hidden="false" customHeight="false" outlineLevel="0" collapsed="false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customFormat="false" ht="15" hidden="false" customHeight="false" outlineLevel="0" collapsed="false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customFormat="false" ht="15" hidden="false" customHeight="false" outlineLevel="0" collapsed="false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customFormat="false" ht="15" hidden="false" customHeight="false" outlineLevel="0" collapsed="false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customFormat="false" ht="15" hidden="false" customHeight="false" outlineLevel="0" collapsed="false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customFormat="false" ht="15" hidden="false" customHeight="false" outlineLevel="0" collapsed="false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customFormat="false" ht="15" hidden="false" customHeight="false" outlineLevel="0" collapsed="false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customFormat="false" ht="15" hidden="false" customHeight="false" outlineLevel="0" collapsed="false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customFormat="false" ht="15" hidden="false" customHeight="false" outlineLevel="0" collapsed="false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customFormat="false" ht="15" hidden="false" customHeight="false" outlineLevel="0" collapsed="false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customFormat="false" ht="15" hidden="false" customHeight="false" outlineLevel="0" collapsed="false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customFormat="false" ht="15" hidden="false" customHeight="false" outlineLevel="0" collapsed="false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customFormat="false" ht="15" hidden="false" customHeight="false" outlineLevel="0" collapsed="false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customFormat="false" ht="15" hidden="false" customHeight="false" outlineLevel="0" collapsed="false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customFormat="false" ht="15" hidden="false" customHeight="false" outlineLevel="0" collapsed="false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customFormat="false" ht="15" hidden="false" customHeight="false" outlineLevel="0" collapsed="false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customFormat="false" ht="15" hidden="false" customHeight="false" outlineLevel="0" collapsed="false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customFormat="false" ht="15" hidden="false" customHeight="false" outlineLevel="0" collapsed="false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customFormat="false" ht="15" hidden="false" customHeight="false" outlineLevel="0" collapsed="false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customFormat="false" ht="15" hidden="false" customHeight="false" outlineLevel="0" collapsed="false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customFormat="false" ht="15" hidden="false" customHeight="false" outlineLevel="0" collapsed="false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customFormat="false" ht="15" hidden="false" customHeight="false" outlineLevel="0" collapsed="false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customFormat="false" ht="15" hidden="false" customHeight="false" outlineLevel="0" collapsed="false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customFormat="false" ht="15" hidden="false" customHeight="false" outlineLevel="0" collapsed="false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customFormat="false" ht="15" hidden="false" customHeight="false" outlineLevel="0" collapsed="false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customFormat="false" ht="15" hidden="false" customHeight="false" outlineLevel="0" collapsed="false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customFormat="false" ht="15" hidden="false" customHeight="false" outlineLevel="0" collapsed="false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customFormat="false" ht="15" hidden="false" customHeight="false" outlineLevel="0" collapsed="false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customFormat="false" ht="15" hidden="false" customHeight="false" outlineLevel="0" collapsed="false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customFormat="false" ht="15" hidden="false" customHeight="false" outlineLevel="0" collapsed="false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customFormat="false" ht="15" hidden="false" customHeight="false" outlineLevel="0" collapsed="false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customFormat="false" ht="15" hidden="false" customHeight="false" outlineLevel="0" collapsed="false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customFormat="false" ht="15" hidden="false" customHeight="false" outlineLevel="0" collapsed="false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customFormat="false" ht="15" hidden="false" customHeight="false" outlineLevel="0" collapsed="false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customFormat="false" ht="15" hidden="false" customHeight="false" outlineLevel="0" collapsed="false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customFormat="false" ht="15" hidden="false" customHeight="false" outlineLevel="0" collapsed="false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customFormat="false" ht="15" hidden="false" customHeight="false" outlineLevel="0" collapsed="false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customFormat="false" ht="15" hidden="false" customHeight="false" outlineLevel="0" collapsed="false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customFormat="false" ht="15" hidden="false" customHeight="false" outlineLevel="0" collapsed="false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customFormat="false" ht="15" hidden="false" customHeight="false" outlineLevel="0" collapsed="false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customFormat="false" ht="15" hidden="false" customHeight="false" outlineLevel="0" collapsed="false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customFormat="false" ht="15" hidden="false" customHeight="false" outlineLevel="0" collapsed="false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customFormat="false" ht="15" hidden="false" customHeight="false" outlineLevel="0" collapsed="false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customFormat="false" ht="15" hidden="false" customHeight="false" outlineLevel="0" collapsed="false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customFormat="false" ht="15" hidden="false" customHeight="false" outlineLevel="0" collapsed="false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customFormat="false" ht="15" hidden="false" customHeight="false" outlineLevel="0" collapsed="false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customFormat="false" ht="15" hidden="false" customHeight="false" outlineLevel="0" collapsed="false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customFormat="false" ht="15" hidden="false" customHeight="false" outlineLevel="0" collapsed="false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customFormat="false" ht="15" hidden="false" customHeight="false" outlineLevel="0" collapsed="false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customFormat="false" ht="15" hidden="false" customHeight="false" outlineLevel="0" collapsed="false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customFormat="false" ht="15" hidden="false" customHeight="false" outlineLevel="0" collapsed="false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customFormat="false" ht="15" hidden="false" customHeight="false" outlineLevel="0" collapsed="false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customFormat="false" ht="15" hidden="false" customHeight="false" outlineLevel="0" collapsed="false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customFormat="false" ht="15" hidden="false" customHeight="false" outlineLevel="0" collapsed="false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customFormat="false" ht="15" hidden="false" customHeight="false" outlineLevel="0" collapsed="false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customFormat="false" ht="15" hidden="false" customHeight="false" outlineLevel="0" collapsed="false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customFormat="false" ht="15" hidden="false" customHeight="false" outlineLevel="0" collapsed="false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customFormat="false" ht="15" hidden="false" customHeight="false" outlineLevel="0" collapsed="false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customFormat="false" ht="15" hidden="false" customHeight="false" outlineLevel="0" collapsed="false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customFormat="false" ht="15" hidden="false" customHeight="false" outlineLevel="0" collapsed="false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customFormat="false" ht="15" hidden="false" customHeight="false" outlineLevel="0" collapsed="false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customFormat="false" ht="15" hidden="false" customHeight="false" outlineLevel="0" collapsed="false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customFormat="false" ht="15" hidden="false" customHeight="false" outlineLevel="0" collapsed="false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customFormat="false" ht="15" hidden="false" customHeight="false" outlineLevel="0" collapsed="false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customFormat="false" ht="15" hidden="false" customHeight="false" outlineLevel="0" collapsed="false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customFormat="false" ht="15" hidden="false" customHeight="false" outlineLevel="0" collapsed="false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customFormat="false" ht="15" hidden="false" customHeight="false" outlineLevel="0" collapsed="false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customFormat="false" ht="15" hidden="false" customHeight="false" outlineLevel="0" collapsed="false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customFormat="false" ht="15" hidden="false" customHeight="false" outlineLevel="0" collapsed="false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customFormat="false" ht="15" hidden="false" customHeight="false" outlineLevel="0" collapsed="false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customFormat="false" ht="15" hidden="false" customHeight="false" outlineLevel="0" collapsed="false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customFormat="false" ht="15" hidden="false" customHeight="false" outlineLevel="0" collapsed="false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customFormat="false" ht="15" hidden="false" customHeight="false" outlineLevel="0" collapsed="false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customFormat="false" ht="15" hidden="false" customHeight="false" outlineLevel="0" collapsed="false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customFormat="false" ht="15" hidden="false" customHeight="false" outlineLevel="0" collapsed="false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customFormat="false" ht="15" hidden="false" customHeight="false" outlineLevel="0" collapsed="false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customFormat="false" ht="15" hidden="false" customHeight="false" outlineLevel="0" collapsed="false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customFormat="false" ht="15" hidden="false" customHeight="false" outlineLevel="0" collapsed="false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customFormat="false" ht="15" hidden="false" customHeight="false" outlineLevel="0" collapsed="false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customFormat="false" ht="15" hidden="false" customHeight="false" outlineLevel="0" collapsed="false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customFormat="false" ht="15" hidden="false" customHeight="false" outlineLevel="0" collapsed="false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customFormat="false" ht="15" hidden="false" customHeight="false" outlineLevel="0" collapsed="false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customFormat="false" ht="15" hidden="false" customHeight="false" outlineLevel="0" collapsed="false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customFormat="false" ht="15" hidden="false" customHeight="false" outlineLevel="0" collapsed="false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customFormat="false" ht="15" hidden="false" customHeight="false" outlineLevel="0" collapsed="false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customFormat="false" ht="15" hidden="false" customHeight="false" outlineLevel="0" collapsed="false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customFormat="false" ht="15" hidden="false" customHeight="false" outlineLevel="0" collapsed="false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customFormat="false" ht="15" hidden="false" customHeight="false" outlineLevel="0" collapsed="false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customFormat="false" ht="15" hidden="false" customHeight="false" outlineLevel="0" collapsed="false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customFormat="false" ht="15" hidden="false" customHeight="false" outlineLevel="0" collapsed="false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2026-08-04T12:11:01Z</dcterms:created>
  <dc:creator>openpyxl</dc:creator>
  <dc:description/>
  <dc:language>en-US</dc:language>
  <cp:lastModifiedBy/>
  <dcterms:modified xsi:type="dcterms:W3CDTF">2026-08-04T12:11:03Z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