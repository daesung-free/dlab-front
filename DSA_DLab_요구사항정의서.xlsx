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개요" sheetId="1" r:id="rId5"/>
    <sheet state="visible" name="1.화면별 요구사항" sheetId="2" r:id="rId6"/>
    <sheet state="visible" name="2.데이터·업무로직 정의" sheetId="3" r:id="rId7"/>
    <sheet state="visible" name="3.메뉴 매핑(AS-IS to TO-BE)" sheetId="4" r:id="rId8"/>
    <sheet state="visible" name="4.리스크·전제사항(소스코드 미보유)" sheetId="5" r:id="rId9"/>
    <sheet state="visible" name="5.오픈이슈 관리대장" sheetId="6" r:id="rId10"/>
  </sheets>
  <definedNames>
    <definedName hidden="1" localSheetId="1" name="_xlnm._FilterDatabase">'1.화면별 요구사항'!$A$1:$K$1</definedName>
    <definedName hidden="1" localSheetId="3" name="_xlnm._FilterDatabase">'3.메뉴 매핑(AS-IS to TO-BE)'!$A$1:$G$1</definedName>
    <definedName hidden="1" localSheetId="5" name="_xlnm._FilterDatabase">'5.오픈이슈 관리대장'!$A$1:$H$1</definedName>
  </definedNames>
  <calcPr/>
</workbook>
</file>

<file path=xl/sharedStrings.xml><?xml version="1.0" encoding="utf-8"?>
<sst xmlns="http://schemas.openxmlformats.org/spreadsheetml/2006/main" count="1041" uniqueCount="782">
  <si>
    <t>No.</t>
  </si>
  <si>
    <t>신규 대분류</t>
  </si>
  <si>
    <t>DSA/D.Lab 통합관리프로그램 재구축</t>
  </si>
  <si>
    <r>
      <rPr>
        <rFont val="Noto Sans CJK SC"/>
        <b/>
        <color rgb="FF1F4E78"/>
        <sz val="20.0"/>
      </rPr>
      <t>데이터</t>
    </r>
    <r>
      <rPr>
        <rFont val="Noto Sans"/>
        <b/>
        <color rgb="FF1F4E78"/>
        <sz val="20.0"/>
      </rPr>
      <t>·</t>
    </r>
    <r>
      <rPr>
        <rFont val="Noto Sans CJK SC"/>
        <b/>
        <color rgb="FF1F4E78"/>
        <sz val="20.0"/>
      </rPr>
      <t>업무로직 정의</t>
    </r>
  </si>
  <si>
    <t>요구사항정의서 (Requirements Definition Document)</t>
  </si>
  <si>
    <r>
      <rPr>
        <rFont val="Noto Sans CJK SC"/>
        <b/>
        <color rgb="FFFFFFFF"/>
        <sz val="10.0"/>
      </rPr>
      <t>구</t>
    </r>
    <r>
      <rPr>
        <rFont val="Noto Sans"/>
        <b/>
        <color rgb="FFFFFFFF"/>
        <sz val="10.0"/>
      </rPr>
      <t>.</t>
    </r>
    <r>
      <rPr>
        <rFont val="Noto Sans CJK SC"/>
        <b/>
        <color rgb="FFFFFFFF"/>
        <sz val="10.0"/>
      </rPr>
      <t>기능번호</t>
    </r>
  </si>
  <si>
    <t>작성 목적</t>
  </si>
  <si>
    <t>DSA 화면 실사 결과(기존 운영화면 기반 요구사항 검증) + D.Lab 통합 기획서·기술 개발문서 반영한 개발 착수용 통합 문서</t>
  </si>
  <si>
    <t>문서 버전</t>
  </si>
  <si>
    <t>신규 하위메뉴</t>
  </si>
  <si>
    <t>v1.0 (2026-07-19)</t>
  </si>
  <si>
    <r>
      <rPr>
        <rFont val="Noto Sans CJK SC"/>
        <b/>
        <color rgb="FFFFFFFF"/>
        <sz val="10.0"/>
      </rPr>
      <t>대분류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경로</t>
    </r>
    <r>
      <rPr>
        <rFont val="Noto Sans"/>
        <b/>
        <color rgb="FFFFFFFF"/>
        <sz val="10.0"/>
      </rPr>
      <t>)</t>
    </r>
  </si>
  <si>
    <t>기준 자료 ①</t>
  </si>
  <si>
    <t>DSA_기능분석_요구사항정의서_v2 (DSA 화면 실사, 2026-07-16) — 19개 기능 화면 캡처·항목 정리</t>
  </si>
  <si>
    <t>화면명</t>
  </si>
  <si>
    <r>
      <rPr>
        <rFont val="Arial"/>
        <b/>
        <color rgb="FFFFFFFF"/>
        <sz val="10.0"/>
      </rPr>
      <t xml:space="preserve">DSA </t>
    </r>
    <r>
      <rPr>
        <rFont val="Noto Sans CJK SC"/>
        <b/>
        <color rgb="FFFFFFFF"/>
        <sz val="10.0"/>
      </rPr>
      <t>기존 메뉴 경로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실사 기준</t>
    </r>
    <r>
      <rPr>
        <rFont val="Arial"/>
        <b/>
        <color rgb="FFFFFFFF"/>
        <sz val="10.0"/>
      </rPr>
      <t>)</t>
    </r>
  </si>
  <si>
    <t>기준 자료 ②</t>
  </si>
  <si>
    <t>DLab_개발_기획정리_및_확인필요사항_v5 (2026-07-15 확정사항 반영) — 기획서 4장 기능정리 + 확인필요 D/S/E/I 항목</t>
  </si>
  <si>
    <t>구분</t>
  </si>
  <si>
    <t>매핑 상태</t>
  </si>
  <si>
    <t>기준 자료 ③</t>
  </si>
  <si>
    <t>Dlab통합관리_기술_개발문서_v1.3 (2026-07-15) — API·DB·Phase 계획</t>
  </si>
  <si>
    <t>확인 필요사항</t>
  </si>
  <si>
    <t>기능 개요</t>
  </si>
  <si>
    <t>문서 구성</t>
  </si>
  <si>
    <r>
      <rPr>
        <rFont val="Arial"/>
        <b/>
        <color rgb="FFFFFFFF"/>
        <sz val="10.0"/>
      </rPr>
      <t xml:space="preserve">DSA </t>
    </r>
    <r>
      <rPr>
        <rFont val="Noto Sans CJK SC"/>
        <b/>
        <color rgb="FFFFFFFF"/>
        <sz val="10.0"/>
      </rPr>
      <t>실사 근거 요약</t>
    </r>
  </si>
  <si>
    <t>0.개요 / 1.화면별 요구사항 / 2.데이터·업무로직 정의 / 3.메뉴 매핑(AS-IS to TO-BE) / 4.리스크·전제사항(소스코드 미보유) / 5.오픈이슈 관리대장</t>
  </si>
  <si>
    <r>
      <rPr>
        <rFont val="Noto Sans CJK SC"/>
        <b/>
        <color rgb="FFFFFFFF"/>
        <sz val="10.0"/>
      </rPr>
      <t xml:space="preserve">핵심 요구사항 </t>
    </r>
    <r>
      <rPr>
        <rFont val="Noto Sans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로직</t>
    </r>
  </si>
  <si>
    <r>
      <rPr>
        <rFont val="Noto Sans CJK SC"/>
        <b/>
        <color rgb="FFFFFFFF"/>
        <sz val="10.0"/>
      </rPr>
      <t>관련 이슈</t>
    </r>
    <r>
      <rPr>
        <rFont val="Noto Sans"/>
        <b/>
        <color rgb="FFFFFFFF"/>
        <sz val="10.0"/>
      </rPr>
      <t>No.</t>
    </r>
  </si>
  <si>
    <t>주요 데이터 항목</t>
  </si>
  <si>
    <r>
      <rPr>
        <rFont val="Noto Sans CJK SC"/>
        <b/>
        <color rgb="FFFFFFFF"/>
        <sz val="10.0"/>
      </rPr>
      <t>연관 화면</t>
    </r>
    <r>
      <rPr>
        <rFont val="Noto Sans"/>
        <b/>
        <color rgb="FFFFFFFF"/>
        <sz val="10.0"/>
      </rPr>
      <t>/</t>
    </r>
    <r>
      <rPr>
        <rFont val="Noto Sans CJK SC"/>
        <b/>
        <color rgb="FFFFFFFF"/>
        <sz val="10.0"/>
      </rPr>
      <t>시스템</t>
    </r>
  </si>
  <si>
    <t>■ 중요 전제 — 매출프로그램 재구축 건과의 결정적 차이</t>
  </si>
  <si>
    <r>
      <rPr>
        <rFont val="Arial"/>
        <b/>
        <color rgb="FFFFFFFF"/>
        <sz val="10.0"/>
      </rPr>
      <t xml:space="preserve">DSA </t>
    </r>
    <r>
      <rPr>
        <rFont val="Noto Sans CJK SC"/>
        <b/>
        <color rgb="FFFFFFFF"/>
        <sz val="10.0"/>
      </rPr>
      <t>화면 실사 근거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코드 아님</t>
    </r>
    <r>
      <rPr>
        <rFont val="Arial"/>
        <b/>
        <color rgb="FFFFFFFF"/>
        <sz val="10.0"/>
      </rPr>
      <t>, UX·</t>
    </r>
    <r>
      <rPr>
        <rFont val="Noto Sans CJK SC"/>
        <b/>
        <color rgb="FFFFFFFF"/>
        <sz val="10.0"/>
      </rPr>
      <t>요구사항 참고용</t>
    </r>
    <r>
      <rPr>
        <rFont val="Arial"/>
        <b/>
        <color rgb="FFFFFFFF"/>
        <sz val="10.0"/>
      </rPr>
      <t>)</t>
    </r>
  </si>
  <si>
    <r>
      <rPr>
        <rFont val="Noto Sans CJK SC"/>
        <b/>
        <color rgb="FFFFFFFF"/>
        <sz val="10.0"/>
      </rPr>
      <t>관련 이슈</t>
    </r>
    <r>
      <rPr>
        <rFont val="Noto Sans"/>
        <b/>
        <color rgb="FFFFFFFF"/>
        <sz val="10.0"/>
      </rPr>
      <t>No.</t>
    </r>
  </si>
  <si>
    <r>
      <rPr>
        <rFont val="Noto Sans CJK SC"/>
        <color rgb="FF555555"/>
        <sz val="10.0"/>
      </rPr>
      <t>여러 화면</t>
    </r>
    <r>
      <rPr>
        <rFont val="Noto Sans"/>
        <color rgb="FF555555"/>
        <sz val="10.0"/>
      </rPr>
      <t>·</t>
    </r>
    <r>
      <rPr>
        <rFont val="Noto Sans CJK SC"/>
        <color rgb="FF555555"/>
        <sz val="10.0"/>
      </rPr>
      <t>기획서에 걸쳐 반복 확인된 상태전이</t>
    </r>
    <r>
      <rPr>
        <rFont val="Noto Sans"/>
        <color rgb="FF555555"/>
        <sz val="10.0"/>
      </rPr>
      <t>·</t>
    </r>
    <r>
      <rPr>
        <rFont val="Noto Sans CJK SC"/>
        <color rgb="FF555555"/>
        <sz val="10.0"/>
      </rPr>
      <t>계산식</t>
    </r>
    <r>
      <rPr>
        <rFont val="Noto Sans"/>
        <color rgb="FF555555"/>
        <sz val="10.0"/>
      </rPr>
      <t>·</t>
    </r>
    <r>
      <rPr>
        <rFont val="Noto Sans CJK SC"/>
        <color rgb="FF555555"/>
        <sz val="10.0"/>
      </rPr>
      <t>채번규칙</t>
    </r>
    <r>
      <rPr>
        <rFont val="Noto Sans"/>
        <color rgb="FF555555"/>
        <sz val="10.0"/>
      </rPr>
      <t>·</t>
    </r>
    <r>
      <rPr>
        <rFont val="Noto Sans CJK SC"/>
        <color rgb="FF555555"/>
        <sz val="10.0"/>
      </rPr>
      <t xml:space="preserve">저장방식 통합 정리 </t>
    </r>
    <r>
      <rPr>
        <rFont val="Noto Sans"/>
        <color rgb="FF555555"/>
        <sz val="10.0"/>
      </rPr>
      <t xml:space="preserve">+ DSA </t>
    </r>
    <r>
      <rPr>
        <rFont val="Noto Sans CJK SC"/>
        <color rgb="FF555555"/>
        <sz val="10.0"/>
      </rPr>
      <t>실사 결과 대비 신규 요구사항 갭 정리</t>
    </r>
  </si>
  <si>
    <r>
      <rPr>
        <rFont val="Noto Sans"/>
        <color theme="1"/>
        <sz val="10.0"/>
      </rPr>
      <t xml:space="preserve">4.1 </t>
    </r>
    <r>
      <rPr>
        <rFont val="Noto Sans CJK SC"/>
        <color theme="1"/>
        <sz val="10.0"/>
      </rPr>
      <t>학생 관리</t>
    </r>
  </si>
  <si>
    <t>본 프로젝트는 DSA 레거시 소스코드·DB에 대한 접근/실측이 불가능하다. 따라서 '매출프로그램 재구축' 문서에 있던 [기존이관-무수정] 같은 코드 재사용 분류는 존재하지 않는다. DSA 실사 화면은 오직 '요구사항이 실제 운영에서 검증되었다는 근거'와 'UI/UX 참고자료'로만 활용되며, 코드/DB 스키마/내부 로직은 예외 없이 전량 신규 설계·구현 대상이다. 이에 따라 1시트 '구분' 컬럼은 [신규개발-요구사항검증됨(DSA 화면 존재)] / [신규개발-요구사항보완(DSA 화면 있으나 확장 필요)] / [신규개발-요구사항신규(DSA 대응 화면 없음)] 3종으로 재정의하였다.</t>
  </si>
  <si>
    <r>
      <rPr>
        <rFont val="Noto Sans CJK SC"/>
        <color theme="1"/>
        <sz val="10.0"/>
      </rPr>
      <t>학원생 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조회</t>
    </r>
  </si>
  <si>
    <r>
      <rPr>
        <rFont val="Noto Sans CJK SC"/>
        <color theme="1"/>
        <sz val="10.0"/>
      </rPr>
      <t xml:space="preserve">학원생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학원생 메인 메뉴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</si>
  <si>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</si>
  <si>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t>■ 3대 중점사항 요약 및 확정 범위</t>
  </si>
  <si>
    <r>
      <rPr>
        <rFont val="Noto Sans CJK SC"/>
        <color theme="1"/>
        <sz val="10.0"/>
      </rPr>
      <t>정렬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검색조건 저장 신규 추가</t>
    </r>
  </si>
  <si>
    <r>
      <rPr>
        <rFont val="Noto Sans CJK SC"/>
        <color theme="1"/>
        <sz val="10.0"/>
      </rPr>
      <t xml:space="preserve">검색필터 </t>
    </r>
    <r>
      <rPr>
        <rFont val="Noto Sans"/>
        <color theme="1"/>
        <sz val="10.0"/>
      </rPr>
      <t>12</t>
    </r>
    <r>
      <rPr>
        <rFont val="Noto Sans CJK SC"/>
        <color theme="1"/>
        <sz val="10.0"/>
      </rPr>
      <t>개조건 확인</t>
    </r>
    <r>
      <rPr>
        <rFont val="Noto Sans"/>
        <color theme="1"/>
        <sz val="10.0"/>
      </rPr>
      <t>(394</t>
    </r>
    <r>
      <rPr>
        <rFont val="Noto Sans CJK SC"/>
        <color theme="1"/>
        <sz val="10.0"/>
      </rPr>
      <t>명 표시</t>
    </r>
    <r>
      <rPr>
        <rFont val="Noto Sans"/>
        <color theme="1"/>
        <sz val="10.0"/>
      </rPr>
      <t>)</t>
    </r>
  </si>
  <si>
    <t>F-4.1-1</t>
  </si>
  <si>
    <t>-</t>
  </si>
  <si>
    <t>중점사항</t>
  </si>
  <si>
    <r>
      <rPr>
        <rFont val="Noto Sans"/>
        <color theme="1"/>
        <sz val="10.0"/>
      </rPr>
      <t xml:space="preserve">[D.Lab 4.1] </t>
    </r>
    <r>
      <rPr>
        <rFont val="Noto Sans CJK SC"/>
        <color theme="1"/>
        <sz val="10.0"/>
      </rPr>
      <t>학생 관리</t>
    </r>
  </si>
  <si>
    <t>확정된 범위 / 주요 결론</t>
  </si>
  <si>
    <r>
      <rPr>
        <rFont val="Noto Sans CJK SC"/>
        <color theme="1"/>
        <sz val="10.0"/>
      </rPr>
      <t>학원생 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조회</t>
    </r>
  </si>
  <si>
    <t>① DSA 기능 실사(주 자료)</t>
  </si>
  <si>
    <t>DSA 화면 19개 기능을 D.Lab 통합 기획서 4.1~4.10 항목과 1:1 대조하여 '기존 사용 가능(요구사항 검증)' / '신규 개발(대응화면 없음)'로 분류 완료. 단, 이는 어디까지나 요구사항·UX 관점의 분류이며 코드 재사용을 의미하지 않음(위 경고 참고).</t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</si>
  <si>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</si>
  <si>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"/>
        <color theme="1"/>
        <sz val="10.0"/>
      </rPr>
      <t xml:space="preserve">4.1 </t>
    </r>
    <r>
      <rPr>
        <rFont val="Noto Sans CJK SC"/>
        <color theme="1"/>
        <sz val="10.0"/>
      </rPr>
      <t>학생 관리</t>
    </r>
  </si>
  <si>
    <r>
      <rPr>
        <rFont val="Noto Sans CJK SC"/>
        <b/>
        <color rgb="FFFFFFFF"/>
        <sz val="12.0"/>
      </rPr>
      <t xml:space="preserve">① 상태값 전이표 통합 정리  </t>
    </r>
    <r>
      <rPr>
        <rFont val="Noto Sans"/>
        <b/>
        <color rgb="FFFFFFFF"/>
        <sz val="12.0"/>
      </rPr>
      <t>[</t>
    </r>
    <r>
      <rPr>
        <rFont val="Noto Sans CJK SC"/>
        <b/>
        <color rgb="FFFFFFFF"/>
        <sz val="12.0"/>
      </rPr>
      <t>출처</t>
    </r>
    <r>
      <rPr>
        <rFont val="Noto Sans"/>
        <b/>
        <color rgb="FFFFFFFF"/>
        <sz val="12.0"/>
      </rPr>
      <t xml:space="preserve">: </t>
    </r>
    <r>
      <rPr>
        <rFont val="Noto Sans CJK SC"/>
        <b/>
        <color rgb="FFFFFFFF"/>
        <sz val="12.0"/>
      </rPr>
      <t xml:space="preserve">기획정리 </t>
    </r>
    <r>
      <rPr>
        <rFont val="Noto Sans"/>
        <b/>
        <color rgb="FFFFFFFF"/>
        <sz val="12.0"/>
      </rPr>
      <t xml:space="preserve">4.2~4.3·4.11, </t>
    </r>
    <r>
      <rPr>
        <rFont val="Noto Sans CJK SC"/>
        <b/>
        <color rgb="FFFFFFFF"/>
        <sz val="12.0"/>
      </rPr>
      <t xml:space="preserve">기술문서 </t>
    </r>
    <r>
      <rPr>
        <rFont val="Noto Sans"/>
        <b/>
        <color rgb="FFFFFFFF"/>
        <sz val="12.0"/>
      </rPr>
      <t>8.2/8.3/8.4/8.11]</t>
    </r>
  </si>
  <si>
    <t>상벌점 관리</t>
  </si>
  <si>
    <t>② D.Lab 신규 확장 도메인</t>
  </si>
  <si>
    <t>기획서 4.11 및 기술문서 8.6~8.13에서 정의된 데일리루틴·학습계획·메시지(공지/1:1채팅/가족채팅방)·상담리포트·승인라우팅·Daily Report 집계·대면QnA·영단어시험 7개 도메인은 DSA에 대응 화면이 전혀 없는 완전 신규 기능.</t>
  </si>
  <si>
    <r>
      <rPr>
        <rFont val="Noto Sans"/>
        <color theme="1"/>
        <sz val="10.0"/>
      </rPr>
      <t xml:space="preserve">D.Lab &gt; </t>
    </r>
    <r>
      <rPr>
        <rFont val="Noto Sans CJK SC"/>
        <color theme="1"/>
        <sz val="10.0"/>
      </rPr>
      <t>상벌점 내역 조회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관리</t>
    </r>
  </si>
  <si>
    <r>
      <rPr>
        <rFont val="Noto Sans CJK SC"/>
        <color theme="1"/>
        <sz val="10.0"/>
      </rPr>
      <t>통합 검색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이름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학번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전화번호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결과 정렬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검색조건 저장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</si>
  <si>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일부 검증</t>
    </r>
    <r>
      <rPr>
        <rFont val="Noto Sans"/>
        <b/>
        <color theme="1"/>
        <sz val="9.0"/>
      </rPr>
      <t>)</t>
    </r>
  </si>
  <si>
    <t>③ 확인필요사항(블로커) 이관</t>
  </si>
  <si>
    <t>대성전산(D-1~9)·D.Lab사이트(S-1~5)·기타외부연동(E-1~6)·내부운영팀(I-1~15) 총 35건의 확인필요 항목을 5.오픈이슈 관리대장으로 재구성, 우선순위(최우선/높음/중/하) 재산정.</t>
  </si>
  <si>
    <r>
      <rPr>
        <rFont val="Noto Sans CJK SC"/>
        <color theme="1"/>
        <sz val="10.0"/>
      </rPr>
      <t>앱 연동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전년도 복사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자동룰 확인필요</t>
    </r>
  </si>
  <si>
    <r>
      <rPr>
        <rFont val="Noto Sans"/>
        <color theme="1"/>
        <sz val="10.0"/>
      </rPr>
      <t xml:space="preserve">GET /api/v1/students — QueryDSL </t>
    </r>
    <r>
      <rPr>
        <rFont val="Noto Sans CJK SC"/>
        <color theme="1"/>
        <sz val="10.0"/>
      </rPr>
      <t>동적 검색 빌더 활용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공통 검색 파라미터</t>
    </r>
    <r>
      <rPr>
        <rFont val="Noto Sans"/>
        <color theme="1"/>
        <sz val="10.0"/>
      </rPr>
      <t xml:space="preserve">(year·branchId·keyword </t>
    </r>
    <r>
      <rPr>
        <rFont val="Noto Sans CJK SC"/>
        <color theme="1"/>
        <sz val="10.0"/>
      </rPr>
      <t>등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</si>
  <si>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선택 일괄 점수부여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</si>
  <si>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#25(I-5)</t>
  </si>
  <si>
    <t>students</t>
  </si>
  <si>
    <t>■ 문서 이용 안내</t>
  </si>
  <si>
    <t>• '오픈이슈 관리대장' 시트의 항목은 개발 착수 전 확인이 필요한 사항이다. 우선순위 '최우선' 항목은 요구사항 확정 회의에서 최우선 논의 대상이다.</t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</si>
  <si>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학원생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메인메뉴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학생명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학번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학교 등 </t>
    </r>
    <r>
      <rPr>
        <rFont val="Noto Sans"/>
        <color theme="1"/>
        <sz val="10.0"/>
      </rPr>
      <t>12</t>
    </r>
    <r>
      <rPr>
        <rFont val="Noto Sans CJK SC"/>
        <color theme="1"/>
        <sz val="10.0"/>
      </rPr>
      <t>개 조건 검색필터</t>
    </r>
    <r>
      <rPr>
        <rFont val="Noto Sans"/>
        <color theme="1"/>
        <sz val="10.0"/>
      </rPr>
      <t>, 394</t>
    </r>
    <r>
      <rPr>
        <rFont val="Noto Sans CJK SC"/>
        <color theme="1"/>
        <sz val="10.0"/>
      </rPr>
      <t>명 목록 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단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결과 정렬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검색조건 저장은 화면에서 미확인 → 신규 요구사항으로 취급</t>
    </r>
  </si>
  <si>
    <r>
      <rPr>
        <rFont val="Noto Sans"/>
        <color theme="1"/>
        <sz val="10.0"/>
      </rPr>
      <t xml:space="preserve">4.1 </t>
    </r>
    <r>
      <rPr>
        <rFont val="Noto Sans CJK SC"/>
        <color theme="1"/>
        <sz val="10.0"/>
      </rPr>
      <t>학생 관리</t>
    </r>
  </si>
  <si>
    <t>도메인</t>
  </si>
  <si>
    <t>• '화면별 요구사항' 시트의 '구분' 컬럼은 개발 범위 산정 기준이다: [신규개발-요구사항검증됨] / [신규개발-요구사항보완] / [신규개발-요구사항신규] 3종으로 분류하였다(코드 재사용 항목 없음).</t>
  </si>
  <si>
    <r>
      <rPr>
        <rFont val="Noto Sans CJK SC"/>
        <color theme="1"/>
        <sz val="10.0"/>
      </rPr>
      <t>신규 접수 등록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합격생 등록</t>
    </r>
    <r>
      <rPr>
        <rFont val="Noto Sans"/>
        <color theme="1"/>
        <sz val="10.0"/>
      </rPr>
      <t>)</t>
    </r>
  </si>
  <si>
    <t>상태값</t>
  </si>
  <si>
    <t>의미</t>
  </si>
  <si>
    <r>
      <rPr>
        <rFont val="Noto Sans CJK SC"/>
        <color theme="1"/>
        <sz val="10.0"/>
      </rPr>
      <t xml:space="preserve">학원생 </t>
    </r>
    <r>
      <rPr>
        <rFont val="Noto Sans"/>
        <color theme="1"/>
        <sz val="10.0"/>
      </rPr>
      <t>&gt; NEW</t>
    </r>
    <r>
      <rPr>
        <rFont val="Noto Sans CJK SC"/>
        <color theme="1"/>
        <sz val="10.0"/>
      </rPr>
      <t xml:space="preserve">접수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합격생등록</t>
    </r>
  </si>
  <si>
    <t>• '데이터·업무로직 정의' 시트는 여러 화면에 걸쳐 반복 확인된 상태전이·계산식·채번규칙과, DSA 실사 결과 대비 신규 요구사항 갭을 통합 정리한 것으로 데이터 모델 설계의 기준 자료로 활용 가능하다.</t>
  </si>
  <si>
    <r>
      <rPr>
        <rFont val="Noto Sans CJK SC"/>
        <b/>
        <color rgb="FFFFFFFF"/>
        <sz val="10.0"/>
      </rPr>
      <t xml:space="preserve">허용 전이 </t>
    </r>
    <r>
      <rPr>
        <rFont val="Noto Sans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액션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</si>
  <si>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</si>
  <si>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t>학번 자동부여 로직 상세 확인</t>
  </si>
  <si>
    <t>비고</t>
  </si>
  <si>
    <r>
      <rPr>
        <rFont val="Noto Sans CJK SC"/>
        <color theme="1"/>
        <sz val="10.0"/>
      </rPr>
      <t>다중조건검색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합격생등록 버튼 확인</t>
    </r>
  </si>
  <si>
    <t>F-4.1-2</t>
  </si>
  <si>
    <r>
      <rPr>
        <rFont val="Noto Sans"/>
        <color theme="1"/>
        <sz val="10.0"/>
      </rPr>
      <t xml:space="preserve">[D.Lab 4.1] </t>
    </r>
    <r>
      <rPr>
        <rFont val="Noto Sans CJK SC"/>
        <color theme="1"/>
        <sz val="10.0"/>
      </rPr>
      <t>학생 관리</t>
    </r>
  </si>
  <si>
    <t>대기자 관리</t>
  </si>
  <si>
    <r>
      <rPr>
        <rFont val="Noto Sans"/>
        <color theme="1"/>
        <sz val="10.0"/>
      </rPr>
      <t xml:space="preserve">4.1 </t>
    </r>
    <r>
      <rPr>
        <rFont val="Noto Sans CJK SC"/>
        <color theme="1"/>
        <sz val="10.0"/>
      </rPr>
      <t>학생 관리</t>
    </r>
  </si>
  <si>
    <r>
      <rPr>
        <rFont val="Noto Sans CJK SC"/>
        <color theme="1"/>
        <sz val="10.0"/>
      </rPr>
      <t xml:space="preserve">대기중 → 전환완료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삭제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</si>
  <si>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</si>
  <si>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r>
      <rPr>
        <rFont val="Noto Sans CJK SC"/>
        <color theme="1"/>
        <sz val="10.0"/>
      </rPr>
      <t>반 배정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고정반 관리</t>
    </r>
    <r>
      <rPr>
        <rFont val="Noto Sans"/>
        <color theme="1"/>
        <sz val="10.0"/>
      </rPr>
      <t>)</t>
    </r>
  </si>
  <si>
    <t>입학예약자 등록 후 순번 대기</t>
  </si>
  <si>
    <r>
      <rPr>
        <rFont val="Noto Sans CJK SC"/>
        <color theme="1"/>
        <sz val="10.0"/>
      </rPr>
      <t xml:space="preserve">교무업무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고정반 관리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</si>
  <si>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</si>
  <si>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순번알림 자동발송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관리자 개별메시지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원생 전환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원클릭</t>
    </r>
    <r>
      <rPr>
        <rFont val="Noto Sans"/>
        <color theme="1"/>
        <sz val="10.0"/>
      </rPr>
      <t>)+</t>
    </r>
    <r>
      <rPr>
        <rFont val="Noto Sans CJK SC"/>
        <color theme="1"/>
        <sz val="10.0"/>
      </rPr>
      <t>앱 초대알림</t>
    </r>
  </si>
  <si>
    <t>전년도 복사 동작 확인 필요</t>
  </si>
  <si>
    <r>
      <rPr>
        <rFont val="Noto Sans CJK SC"/>
        <color theme="1"/>
        <sz val="10.0"/>
      </rPr>
      <t>대성 폼</t>
    </r>
    <r>
      <rPr>
        <rFont val="Noto Sans"/>
        <color theme="1"/>
        <sz val="10.0"/>
      </rPr>
      <t xml:space="preserve">(D-7) </t>
    </r>
    <r>
      <rPr>
        <rFont val="Noto Sans CJK SC"/>
        <color theme="1"/>
        <sz val="10.0"/>
      </rPr>
      <t xml:space="preserve">확정 전까지 스키마 가변적 — </t>
    </r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특강대기자와 대상 다름</t>
    </r>
  </si>
  <si>
    <r>
      <rPr>
        <rFont val="Noto Sans CJK SC"/>
        <color theme="1"/>
        <sz val="10.0"/>
      </rPr>
      <t>고정반목록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배정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원생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</si>
  <si>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r>
      <rPr>
        <rFont val="Noto Sans CJK SC"/>
        <color theme="1"/>
        <sz val="10.0"/>
      </rPr>
      <t>항목 전년도 복사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학생별 내역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앱 </t>
    </r>
    <r>
      <rPr>
        <rFont val="Noto Sans"/>
        <color theme="1"/>
        <sz val="10.0"/>
      </rPr>
      <t xml:space="preserve">Daily Report </t>
    </r>
    <r>
      <rPr>
        <rFont val="Noto Sans CJK SC"/>
        <color theme="1"/>
        <sz val="10.0"/>
      </rPr>
      <t>실시간 연동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상벌점 규칙 엔진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루틴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출결 자동 부여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</si>
  <si>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PenaltyRuleEngine — </t>
    </r>
    <r>
      <rPr>
        <rFont val="Noto Sans CJK SC"/>
        <color theme="1"/>
        <sz val="10.0"/>
      </rPr>
      <t>트리거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지각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결석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루틴미완료 등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매핑 규칙 기반 자동 부여</t>
    </r>
    <r>
      <rPr>
        <rFont val="Noto Sans"/>
        <color theme="1"/>
        <sz val="10.0"/>
      </rPr>
      <t>. YearlySnapshotService</t>
    </r>
    <r>
      <rPr>
        <rFont val="Noto Sans CJK SC"/>
        <color theme="1"/>
        <sz val="10.0"/>
      </rPr>
      <t>로 항목 전년도 복사
▷</t>
    </r>
    <r>
      <rPr>
        <rFont val="Noto Sans"/>
        <color theme="1"/>
        <sz val="10.0"/>
      </rPr>
      <t xml:space="preserve">[0723] </t>
    </r>
    <r>
      <rPr>
        <rFont val="Noto Sans CJK SC"/>
        <color theme="1"/>
        <sz val="10.0"/>
      </rPr>
      <t>학생 노출 명칭 완화 검토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관리점수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나의점수 등</t>
    </r>
    <r>
      <rPr>
        <rFont val="Noto Sans"/>
        <color theme="1"/>
        <sz val="10.0"/>
      </rPr>
      <t xml:space="preserve">) — </t>
    </r>
    <r>
      <rPr>
        <rFont val="Noto Sans CJK SC"/>
        <color theme="1"/>
        <sz val="10.0"/>
      </rPr>
      <t>운영팀 확정</t>
    </r>
  </si>
  <si>
    <t>출결 관리</t>
  </si>
  <si>
    <t>ON_TIME / LATE / ABSENT / OUT / EXCUSED</t>
  </si>
  <si>
    <t>penalty_items, penalty_rules</t>
  </si>
  <si>
    <r>
      <rPr>
        <rFont val="Noto Sans"/>
        <color theme="1"/>
        <sz val="10.0"/>
      </rPr>
      <t xml:space="preserve">4.1 </t>
    </r>
    <r>
      <rPr>
        <rFont val="Noto Sans CJK SC"/>
        <color theme="1"/>
        <sz val="10.0"/>
      </rPr>
      <t>학생 관리</t>
    </r>
  </si>
  <si>
    <t>키오스크 태깅 기반 자동 판정</t>
  </si>
  <si>
    <t>사유 신청 관리</t>
  </si>
  <si>
    <r>
      <rPr>
        <rFont val="Noto Sans CJK SC"/>
        <color theme="1"/>
        <sz val="10.0"/>
      </rPr>
      <t>결석은 배치 스케줄러로 최종 확정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전이 후 알림톡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상벌점 자동 트리거</t>
    </r>
  </si>
  <si>
    <r>
      <rPr>
        <rFont val="Noto Sans"/>
        <color theme="1"/>
        <sz val="10.0"/>
      </rPr>
      <t xml:space="preserve">D.Lab &gt; </t>
    </r>
    <r>
      <rPr>
        <rFont val="Noto Sans CJK SC"/>
        <color theme="1"/>
        <sz val="10.0"/>
      </rPr>
      <t>사유 신청권 설정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</si>
  <si>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 xml:space="preserve">는 상태값 </t>
    </r>
    <r>
      <rPr>
        <rFont val="Noto Sans"/>
        <color theme="1"/>
        <sz val="10.0"/>
      </rPr>
      <t>5</t>
    </r>
    <r>
      <rPr>
        <rFont val="Noto Sans CJK SC"/>
        <color theme="1"/>
        <sz val="10.0"/>
      </rPr>
      <t>종 화면 표기만 확인</t>
    </r>
    <r>
      <rPr>
        <rFont val="Noto Sans"/>
        <color theme="1"/>
        <sz val="10.0"/>
      </rPr>
      <t xml:space="preserve">, enum </t>
    </r>
    <r>
      <rPr>
        <rFont val="Noto Sans CJK SC"/>
        <color theme="1"/>
        <sz val="10.0"/>
      </rPr>
      <t>자체는 코드 부재로 신규 정의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</si>
  <si>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보완</t>
    </r>
    <r>
      <rPr>
        <rFont val="Noto Sans"/>
        <b/>
        <color theme="1"/>
        <sz val="9.0"/>
      </rPr>
      <t>)</t>
    </r>
  </si>
  <si>
    <t>앱 실시간 제출→승인 흐름 신규 설계</t>
  </si>
  <si>
    <r>
      <rPr>
        <rFont val="Noto Sans"/>
        <color theme="1"/>
        <sz val="10.0"/>
      </rPr>
      <t>DSA 'D.Lab&gt;</t>
    </r>
    <r>
      <rPr>
        <rFont val="Noto Sans CJK SC"/>
        <color theme="1"/>
        <sz val="10.0"/>
      </rPr>
      <t>상벌점 내역 조회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선택 일괄 점수부여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엑셀다운로드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전체보기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재원생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퇴원생 </t>
    </r>
    <r>
      <rPr>
        <rFont val="Noto Sans"/>
        <color theme="1"/>
        <sz val="10.0"/>
      </rPr>
      <t>3</t>
    </r>
    <r>
      <rPr>
        <rFont val="Noto Sans CJK SC"/>
        <color theme="1"/>
        <sz val="10.0"/>
      </rPr>
      <t>필터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단 자동 룰 부여 로직은 화면에 없음 — 수기 부여만 가능한 구조였음</t>
    </r>
  </si>
  <si>
    <r>
      <rPr>
        <rFont val="Noto Sans CJK SC"/>
        <color theme="1"/>
        <sz val="10.0"/>
      </rPr>
      <t>관리자 직접등록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 구조만 확인</t>
    </r>
  </si>
  <si>
    <t>#32(I-12), #30(I-10)</t>
  </si>
  <si>
    <t>급식 관리</t>
  </si>
  <si>
    <r>
      <rPr>
        <rFont val="Noto Sans CJK SC"/>
        <color theme="1"/>
        <sz val="10.0"/>
      </rPr>
      <t>신청 → 결제대기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가상계좌 </t>
    </r>
    <r>
      <rPr>
        <rFont val="Noto Sans"/>
        <color theme="1"/>
        <sz val="10.0"/>
      </rPr>
      <t xml:space="preserve">ISSUED) → </t>
    </r>
    <r>
      <rPr>
        <rFont val="Noto Sans CJK SC"/>
        <color theme="1"/>
        <sz val="10.0"/>
      </rPr>
      <t xml:space="preserve">확정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 xml:space="preserve">취소요청 → 취소완료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만료</t>
    </r>
  </si>
  <si>
    <r>
      <rPr>
        <rFont val="Noto Sans"/>
        <color theme="1"/>
        <sz val="10.0"/>
      </rPr>
      <t xml:space="preserve">4.2 </t>
    </r>
    <r>
      <rPr>
        <rFont val="Noto Sans CJK SC"/>
        <color theme="1"/>
        <sz val="10.0"/>
      </rPr>
      <t>대기자 관리</t>
    </r>
  </si>
  <si>
    <r>
      <rPr>
        <rFont val="Noto Sans CJK SC"/>
        <color theme="1"/>
        <sz val="10.0"/>
      </rPr>
      <t>카드는 즉시확정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가상계좌는 </t>
    </r>
    <r>
      <rPr>
        <rFont val="Noto Sans"/>
        <color theme="1"/>
        <sz val="10.0"/>
      </rPr>
      <t>10</t>
    </r>
    <r>
      <rPr>
        <rFont val="Noto Sans CJK SC"/>
        <color theme="1"/>
        <sz val="10.0"/>
      </rPr>
      <t>분 주기 스케줄러가 만료 처리</t>
    </r>
  </si>
  <si>
    <r>
      <rPr>
        <rFont val="Noto Sans CJK SC"/>
        <color theme="1"/>
        <sz val="10.0"/>
      </rPr>
      <t xml:space="preserve">대기자 관리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</si>
  <si>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t>F-4.1-3</t>
  </si>
  <si>
    <r>
      <rPr>
        <rFont val="Noto Sans CJK SC"/>
        <color theme="1"/>
        <sz val="10.0"/>
      </rPr>
      <t>앱취소</t>
    </r>
    <r>
      <rPr>
        <rFont val="Noto Sans"/>
        <color theme="1"/>
        <sz val="10.0"/>
      </rPr>
      <t>(3</t>
    </r>
    <r>
      <rPr>
        <rFont val="Noto Sans CJK SC"/>
        <color theme="1"/>
        <sz val="10.0"/>
      </rPr>
      <t>일전</t>
    </r>
    <r>
      <rPr>
        <rFont val="Noto Sans"/>
        <color theme="1"/>
        <sz val="10.0"/>
      </rPr>
      <t>, PG</t>
    </r>
    <r>
      <rPr>
        <rFont val="Noto Sans CJK SC"/>
        <color theme="1"/>
        <sz val="10.0"/>
      </rPr>
      <t>자동환불</t>
    </r>
    <r>
      <rPr>
        <rFont val="Noto Sans"/>
        <color theme="1"/>
        <sz val="10.0"/>
      </rPr>
      <t xml:space="preserve">) vs </t>
    </r>
    <r>
      <rPr>
        <rFont val="Noto Sans CJK SC"/>
        <color theme="1"/>
        <sz val="10.0"/>
      </rPr>
      <t>관리자취소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즉시</t>
    </r>
    <r>
      <rPr>
        <rFont val="Noto Sans"/>
        <color theme="1"/>
        <sz val="10.0"/>
      </rPr>
      <t>) 2</t>
    </r>
    <r>
      <rPr>
        <rFont val="Noto Sans CJK SC"/>
        <color theme="1"/>
        <sz val="10.0"/>
      </rPr>
      <t>트랙 분리</t>
    </r>
  </si>
  <si>
    <r>
      <rPr>
        <rFont val="Noto Sans"/>
        <color theme="1"/>
        <sz val="10.0"/>
      </rPr>
      <t xml:space="preserve">[D.Lab 4.1] </t>
    </r>
    <r>
      <rPr>
        <rFont val="Noto Sans CJK SC"/>
        <color theme="1"/>
        <sz val="10.0"/>
      </rPr>
      <t>학생 관리</t>
    </r>
  </si>
  <si>
    <r>
      <rPr>
        <rFont val="Noto Sans CJK SC"/>
        <color theme="1"/>
        <sz val="10.0"/>
      </rPr>
      <t>데스크 당일신청 트랙 결제방식 미확정</t>
    </r>
    <r>
      <rPr>
        <rFont val="Noto Sans"/>
        <color theme="1"/>
        <sz val="10.0"/>
      </rPr>
      <t>(I-13). DSA/</t>
    </r>
    <r>
      <rPr>
        <rFont val="Noto Sans CJK SC"/>
        <color theme="1"/>
        <sz val="10.0"/>
      </rPr>
      <t>디멤버엔 이 상태모델 자체가 없음</t>
    </r>
  </si>
  <si>
    <r>
      <rPr>
        <rFont val="Noto Sans CJK SC"/>
        <color theme="1"/>
        <sz val="10.0"/>
      </rPr>
      <t>신규 접수 등록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합격생 등록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</si>
  <si>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</si>
  <si>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 xml:space="preserve">특강관리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접수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대기자 접수 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대상 상이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참고용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</si>
  <si>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합격생 등록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학번 자동 부여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매년 초기화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</si>
  <si>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</t>
    </r>
    <r>
      <rPr>
        <rFont val="Noto Sans"/>
        <b/>
        <color theme="1"/>
        <sz val="9.0"/>
      </rPr>
      <t xml:space="preserve">(DSA </t>
    </r>
    <r>
      <rPr>
        <rFont val="Noto Sans CJK SC"/>
        <b/>
        <color theme="1"/>
        <sz val="9.0"/>
      </rPr>
      <t>대상 다름</t>
    </r>
    <r>
      <rPr>
        <rFont val="Noto Sans"/>
        <b/>
        <color theme="1"/>
        <sz val="9.0"/>
      </rPr>
      <t>)</t>
    </r>
  </si>
  <si>
    <r>
      <rPr>
        <rFont val="Noto Sans"/>
        <color theme="1"/>
        <sz val="10.0"/>
      </rPr>
      <t xml:space="preserve">POST /api/v1/students — </t>
    </r>
    <r>
      <rPr>
        <rFont val="Noto Sans CJK SC"/>
        <color theme="1"/>
        <sz val="10.0"/>
      </rPr>
      <t xml:space="preserve">학번 채번 규칙 </t>
    </r>
    <r>
      <rPr>
        <rFont val="Noto Sans"/>
        <color theme="1"/>
        <sz val="10.0"/>
      </rPr>
      <t xml:space="preserve">year+%04d(nextSeq) → </t>
    </r>
    <r>
      <rPr>
        <rFont val="Noto Sans CJK SC"/>
        <color theme="1"/>
        <sz val="10.0"/>
      </rPr>
      <t>예</t>
    </r>
    <r>
      <rPr>
        <rFont val="Noto Sans"/>
        <color theme="1"/>
        <sz val="10.0"/>
      </rPr>
      <t>: 2026-0001</t>
    </r>
  </si>
  <si>
    <t>승인 라우팅</t>
  </si>
  <si>
    <r>
      <rPr>
        <rFont val="Noto Sans CJK SC"/>
        <color theme="1"/>
        <sz val="10.0"/>
      </rPr>
      <t xml:space="preserve">대기 → 승인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반려</t>
    </r>
  </si>
  <si>
    <t>입학예약폼 확정본 전달 대기</t>
  </si>
  <si>
    <r>
      <rPr>
        <rFont val="Noto Sans CJK SC"/>
        <color theme="1"/>
        <sz val="10.0"/>
      </rPr>
      <t>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대기목록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구조만 참고</t>
    </r>
  </si>
  <si>
    <r>
      <rPr>
        <rFont val="Noto Sans"/>
        <color theme="1"/>
        <sz val="10.0"/>
      </rPr>
      <t>approver_type(PARENT/TEACHER/AUTO)</t>
    </r>
    <r>
      <rPr>
        <rFont val="Noto Sans CJK SC"/>
        <color theme="1"/>
        <sz val="10.0"/>
      </rPr>
      <t>에 따라 처리주체 상이</t>
    </r>
  </si>
  <si>
    <t>#1(D-1), #7(D-7), #10(S-1)</t>
  </si>
  <si>
    <r>
      <rPr>
        <rFont val="Noto Sans CJK SC"/>
        <color theme="1"/>
        <sz val="10.0"/>
      </rPr>
      <t>항목별 매트릭스 미확정</t>
    </r>
    <r>
      <rPr>
        <rFont val="Noto Sans"/>
        <color theme="1"/>
        <sz val="10.0"/>
      </rPr>
      <t>(I-12)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</si>
  <si>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 xml:space="preserve">사유신청관리는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관리자 직접처리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단일상태만 존재 — 승인 라우팅 자체가 신규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</si>
  <si>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학원생</t>
    </r>
    <r>
      <rPr>
        <rFont val="Noto Sans"/>
        <color theme="1"/>
        <sz val="10.0"/>
      </rPr>
      <t>&gt;NEW</t>
    </r>
    <r>
      <rPr>
        <rFont val="Noto Sans CJK SC"/>
        <color theme="1"/>
        <sz val="10.0"/>
      </rPr>
      <t>접수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합격생등록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다중조건검색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모집반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계열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전형 등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합격생등록 버튼 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학번 자동부여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매년초기화 로직 자체는 화면상 검증 불가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등록 처리 결과만 확인 가능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</si>
  <si>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4.3 </t>
    </r>
    <r>
      <rPr>
        <rFont val="Noto Sans CJK SC"/>
        <color theme="1"/>
        <sz val="10.0"/>
      </rPr>
      <t>출결 관리</t>
    </r>
  </si>
  <si>
    <r>
      <rPr>
        <rFont val="Noto Sans"/>
        <color theme="1"/>
        <sz val="10.0"/>
      </rPr>
      <t xml:space="preserve">D.Lab &gt; </t>
    </r>
    <r>
      <rPr>
        <rFont val="Noto Sans CJK SC"/>
        <color theme="1"/>
        <sz val="10.0"/>
      </rPr>
      <t>출결 관리</t>
    </r>
  </si>
  <si>
    <r>
      <rPr>
        <rFont val="Noto Sans CJK SC"/>
        <color theme="1"/>
        <sz val="10.0"/>
      </rPr>
      <t>사용자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계정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</si>
  <si>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연동구조 변경</t>
    </r>
    <r>
      <rPr>
        <rFont val="Noto Sans"/>
        <b/>
        <color theme="1"/>
        <sz val="9.0"/>
      </rPr>
      <t>)</t>
    </r>
  </si>
  <si>
    <t>키오스크 직접연동 스펙 확인</t>
  </si>
  <si>
    <r>
      <rPr>
        <rFont val="Noto Sans CJK SC"/>
        <color theme="1"/>
        <sz val="10.0"/>
      </rPr>
      <t xml:space="preserve">승인대기 → 승인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탈퇴</t>
    </r>
  </si>
  <si>
    <t>F-4.1-4</t>
  </si>
  <si>
    <r>
      <rPr>
        <rFont val="Noto Sans CJK SC"/>
        <color theme="1"/>
        <sz val="10.0"/>
      </rPr>
      <t>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출결목록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학습시간계산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</si>
  <si>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실사 화면상 이미 존재하는 상태값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사용자관리</t>
    </r>
    <r>
      <rPr>
        <rFont val="Noto Sans"/>
        <color theme="1"/>
        <sz val="10.0"/>
      </rPr>
      <t>)</t>
    </r>
  </si>
  <si>
    <t>#2(D-2)</t>
  </si>
  <si>
    <r>
      <rPr>
        <rFont val="Noto Sans"/>
        <color theme="1"/>
        <sz val="10.0"/>
      </rPr>
      <t xml:space="preserve">[D.Lab 4.1] </t>
    </r>
    <r>
      <rPr>
        <rFont val="Noto Sans CJK SC"/>
        <color theme="1"/>
        <sz val="10.0"/>
      </rPr>
      <t>학생 관리</t>
    </r>
  </si>
  <si>
    <r>
      <rPr>
        <rFont val="Noto Sans CJK SC"/>
        <color theme="1"/>
        <sz val="10.0"/>
      </rPr>
      <t>지점 선택 후 목록조회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상세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승인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탈퇴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삭제 처리</t>
    </r>
  </si>
  <si>
    <r>
      <rPr>
        <rFont val="Noto Sans CJK SC"/>
        <color theme="1"/>
        <sz val="10.0"/>
      </rPr>
      <t>반 배정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고정반 관리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</si>
  <si>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 xml:space="preserve">흐름은 </t>
    </r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에서 검증됨</t>
    </r>
    <r>
      <rPr>
        <rFont val="Noto Sans"/>
        <color theme="1"/>
        <sz val="10.0"/>
      </rPr>
      <t>. RBAC 5</t>
    </r>
    <r>
      <rPr>
        <rFont val="Noto Sans CJK SC"/>
        <color theme="1"/>
        <sz val="10.0"/>
      </rPr>
      <t>단계 세부 권한모델은 코드가 없어 신규 설계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</si>
  <si>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</si>
  <si>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>고정반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이동수업반 배정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전년도 복사</t>
    </r>
  </si>
  <si>
    <r>
      <rPr>
        <rFont val="Noto Sans"/>
        <color theme="1"/>
        <sz val="10.0"/>
      </rPr>
      <t xml:space="preserve">4.4 </t>
    </r>
    <r>
      <rPr>
        <rFont val="Noto Sans CJK SC"/>
        <color theme="1"/>
        <sz val="10.0"/>
      </rPr>
      <t>메시지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알림</t>
    </r>
  </si>
  <si>
    <r>
      <rPr>
        <rFont val="Noto Sans"/>
        <color theme="1"/>
        <sz val="10.0"/>
      </rPr>
      <t xml:space="preserve">class_assignments. </t>
    </r>
    <r>
      <rPr>
        <rFont val="Noto Sans CJK SC"/>
        <color theme="1"/>
        <sz val="10.0"/>
      </rPr>
      <t>복사 의존순서</t>
    </r>
    <r>
      <rPr>
        <rFont val="Noto Sans"/>
        <color theme="1"/>
        <sz val="10.0"/>
      </rPr>
      <t xml:space="preserve">: department→course_type→class_group→curriculum→penalty_item→tuition (YearlySnapshotService, </t>
    </r>
    <r>
      <rPr>
        <rFont val="Noto Sans CJK SC"/>
        <color theme="1"/>
        <sz val="10.0"/>
      </rPr>
      <t xml:space="preserve">단순 </t>
    </r>
    <r>
      <rPr>
        <rFont val="Noto Sans"/>
        <color theme="1"/>
        <sz val="10.0"/>
      </rPr>
      <t xml:space="preserve">INSERT SELECT </t>
    </r>
    <r>
      <rPr>
        <rFont val="Noto Sans CJK SC"/>
        <color theme="1"/>
        <sz val="10.0"/>
      </rPr>
      <t>금지</t>
    </r>
    <r>
      <rPr>
        <rFont val="Noto Sans"/>
        <color theme="1"/>
        <sz val="10.0"/>
      </rPr>
      <t>)</t>
    </r>
  </si>
  <si>
    <t>문자 발송 → 카카오톡 발송</t>
  </si>
  <si>
    <r>
      <rPr>
        <rFont val="Noto Sans CJK SC"/>
        <color theme="1"/>
        <sz val="10.0"/>
      </rPr>
      <t xml:space="preserve">문자발송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메시지 단체발송</t>
    </r>
  </si>
  <si>
    <t>class_groups, class_assignments</t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</si>
  <si>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채널 전환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</si>
  <si>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알림톡 심사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주 채널 확정</t>
    </r>
  </si>
  <si>
    <r>
      <rPr>
        <rFont val="Noto Sans CJK SC"/>
        <color theme="1"/>
        <sz val="10.0"/>
      </rPr>
      <t>상세필터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대상조회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예약발송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</si>
  <si>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#19(E-5), #24(I-4), #34(I-14)</t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</si>
  <si>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교무업무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고정반 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고정반목록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계열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학과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담임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정원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원생수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배정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원생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그룹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등록 버튼 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전년도 복사는 등록화면 진입 후에만 확인 가능해 미검증</t>
    </r>
  </si>
  <si>
    <r>
      <rPr>
        <rFont val="Noto Sans"/>
        <color theme="1"/>
        <sz val="10.0"/>
      </rPr>
      <t xml:space="preserve">4.5 </t>
    </r>
    <r>
      <rPr>
        <rFont val="Noto Sans CJK SC"/>
        <color theme="1"/>
        <sz val="10.0"/>
      </rPr>
      <t>급식 관리</t>
    </r>
  </si>
  <si>
    <r>
      <rPr>
        <rFont val="Noto Sans CJK SC"/>
        <color theme="1"/>
        <sz val="10.0"/>
      </rPr>
      <t xml:space="preserve">급식 관리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</si>
  <si>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 CJK SC"/>
        <color theme="1"/>
        <sz val="10.0"/>
      </rPr>
      <t xml:space="preserve">디멤버 급식신청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신청관리 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대체 대상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참고용</t>
    </r>
    <r>
      <rPr>
        <rFont val="Noto Sans"/>
        <color theme="1"/>
        <sz val="10.0"/>
      </rPr>
      <t>)</t>
    </r>
  </si>
  <si>
    <r>
      <rPr>
        <rFont val="Noto Sans CJK SC"/>
        <b/>
        <color rgb="FFFFFFFF"/>
        <sz val="12.0"/>
      </rPr>
      <t xml:space="preserve">② 핵심 계산식 </t>
    </r>
    <r>
      <rPr>
        <rFont val="Noto Sans"/>
        <b/>
        <color rgb="FFFFFFFF"/>
        <sz val="12.0"/>
      </rPr>
      <t xml:space="preserve">/ </t>
    </r>
    <r>
      <rPr>
        <rFont val="Noto Sans CJK SC"/>
        <b/>
        <color rgb="FFFFFFFF"/>
        <sz val="12.0"/>
      </rPr>
      <t>산출 로직</t>
    </r>
  </si>
  <si>
    <r>
      <rPr>
        <rFont val="Noto Sans CJK SC"/>
        <b/>
        <color theme="1"/>
        <sz val="9.0"/>
      </rPr>
      <t>신규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전체 대체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</si>
  <si>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 xml:space="preserve">급식업체 </t>
    </r>
    <r>
      <rPr>
        <rFont val="Noto Sans"/>
        <color theme="1"/>
        <sz val="10.0"/>
      </rPr>
      <t xml:space="preserve">PG </t>
    </r>
    <r>
      <rPr>
        <rFont val="Noto Sans CJK SC"/>
        <color theme="1"/>
        <sz val="10.0"/>
      </rPr>
      <t>연동정보</t>
    </r>
    <r>
      <rPr>
        <rFont val="Noto Sans"/>
        <color theme="1"/>
        <sz val="10.0"/>
      </rPr>
      <t>(E-3)·</t>
    </r>
    <r>
      <rPr>
        <rFont val="Noto Sans CJK SC"/>
        <color theme="1"/>
        <sz val="10.0"/>
      </rPr>
      <t>환불프로세스</t>
    </r>
    <r>
      <rPr>
        <rFont val="Noto Sans"/>
        <color theme="1"/>
        <sz val="10.0"/>
      </rPr>
      <t xml:space="preserve">(E-4) </t>
    </r>
    <r>
      <rPr>
        <rFont val="Noto Sans CJK SC"/>
        <color theme="1"/>
        <sz val="10.0"/>
      </rPr>
      <t>확보 대기</t>
    </r>
  </si>
  <si>
    <r>
      <rPr>
        <rFont val="Noto Sans CJK SC"/>
        <color theme="1"/>
        <sz val="10.0"/>
      </rPr>
      <t>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신청목록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구조만 참고</t>
    </r>
  </si>
  <si>
    <t>#4(D-4), #6(D-6), #17(E-3), #18(E-4), #33(I-13)</t>
  </si>
  <si>
    <t>F-4.1-5</t>
  </si>
  <si>
    <r>
      <rPr>
        <rFont val="Noto Sans"/>
        <color theme="1"/>
        <sz val="10.0"/>
      </rPr>
      <t xml:space="preserve">4.6 </t>
    </r>
    <r>
      <rPr>
        <rFont val="Noto Sans CJK SC"/>
        <color theme="1"/>
        <sz val="10.0"/>
      </rPr>
      <t>성적 관리</t>
    </r>
  </si>
  <si>
    <r>
      <rPr>
        <rFont val="Noto Sans CJK SC"/>
        <color theme="1"/>
        <sz val="10.0"/>
      </rPr>
      <t xml:space="preserve">성적 관리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</si>
  <si>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"/>
        <color theme="1"/>
        <sz val="10.0"/>
      </rPr>
      <t xml:space="preserve">[D.Lab 4.1] </t>
    </r>
    <r>
      <rPr>
        <rFont val="Noto Sans CJK SC"/>
        <color theme="1"/>
        <sz val="10.0"/>
      </rPr>
      <t>학생 관리</t>
    </r>
  </si>
  <si>
    <r>
      <rPr>
        <rFont val="Noto Sans CJK SC"/>
        <color theme="1"/>
        <sz val="10.0"/>
      </rPr>
      <t xml:space="preserve">교무업무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모의고사 결시자 현황 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목적 다름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참고용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</si>
  <si>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대상 다름</t>
    </r>
    <r>
      <rPr>
        <rFont val="Noto Sans"/>
        <b/>
        <color theme="1"/>
        <sz val="9.0"/>
      </rPr>
      <t>)</t>
    </r>
  </si>
  <si>
    <t>항목</t>
  </si>
  <si>
    <r>
      <rPr>
        <rFont val="Noto Sans CJK SC"/>
        <color theme="1"/>
        <sz val="10.0"/>
      </rPr>
      <t xml:space="preserve">더프리미엄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스펙 확인</t>
    </r>
  </si>
  <si>
    <r>
      <rPr>
        <rFont val="Noto Sans CJK SC"/>
        <color theme="1"/>
        <sz val="10.0"/>
      </rPr>
      <t>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조회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구조만 참고</t>
    </r>
  </si>
  <si>
    <r>
      <rPr>
        <rFont val="Noto Sans CJK SC"/>
        <b/>
        <color rgb="FFFFFFFF"/>
        <sz val="10.0"/>
      </rPr>
      <t xml:space="preserve">계산식 </t>
    </r>
    <r>
      <rPr>
        <rFont val="Noto Sans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로직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</si>
  <si>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</si>
  <si>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t>#16(E-2), #11(S-2), #31(I-11)</t>
  </si>
  <si>
    <t>검증 상태</t>
  </si>
  <si>
    <t>근거</t>
  </si>
  <si>
    <r>
      <rPr>
        <rFont val="Noto Sans CJK SC"/>
        <color theme="1"/>
        <sz val="10.0"/>
      </rPr>
      <t>앱에서 사유 즉시 제출 → 실시간 확인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기존은 관리자 직접 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 구조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</si>
  <si>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4.6 </t>
    </r>
    <r>
      <rPr>
        <rFont val="Noto Sans CJK SC"/>
        <color theme="1"/>
        <sz val="10.0"/>
      </rPr>
      <t>성적 관리</t>
    </r>
  </si>
  <si>
    <r>
      <rPr>
        <rFont val="Noto Sans CJK SC"/>
        <color theme="1"/>
        <sz val="10.0"/>
      </rPr>
      <t>승인 라우팅</t>
    </r>
    <r>
      <rPr>
        <rFont val="Noto Sans"/>
        <color theme="1"/>
        <sz val="10.0"/>
      </rPr>
      <t>(approval_items: approver_type PARENT/TEACHER/AUTO)</t>
    </r>
    <r>
      <rPr>
        <rFont val="Noto Sans CJK SC"/>
        <color theme="1"/>
        <sz val="10.0"/>
      </rPr>
      <t>에 따라 학부모 또는 담임으로 라우팅</t>
    </r>
  </si>
  <si>
    <r>
      <rPr>
        <rFont val="Noto Sans CJK SC"/>
        <color theme="1"/>
        <sz val="10.0"/>
      </rPr>
      <t>설문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가채점</t>
    </r>
    <r>
      <rPr>
        <rFont val="Noto Sans"/>
        <color theme="1"/>
        <sz val="10.0"/>
      </rPr>
      <t>) 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</si>
  <si>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t>대응 화면 없음</t>
  </si>
  <si>
    <t>신규</t>
  </si>
  <si>
    <t>absence_requests, approval_items, approval_requests</t>
  </si>
  <si>
    <t>학번 채번</t>
  </si>
  <si>
    <r>
      <rPr>
        <rFont val="Noto Sans"/>
        <color theme="1"/>
        <sz val="10.0"/>
      </rPr>
      <t xml:space="preserve">4.7 </t>
    </r>
    <r>
      <rPr>
        <rFont val="Noto Sans CJK SC"/>
        <color theme="1"/>
        <sz val="10.0"/>
      </rPr>
      <t>특강 관리</t>
    </r>
  </si>
  <si>
    <r>
      <rPr>
        <rFont val="Noto Sans"/>
        <color theme="1"/>
        <sz val="10.0"/>
      </rPr>
      <t>DSA 'D.Lab&gt;</t>
    </r>
    <r>
      <rPr>
        <rFont val="Noto Sans CJK SC"/>
        <color theme="1"/>
        <sz val="10.0"/>
      </rPr>
      <t>사유 신청권 설정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사유목록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결석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지각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조퇴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외출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선택삭제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수정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현재는 관리자가 직접 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수정하는 구조 — 앱 실시간 제출→승인 흐름은 화면에 없어 신규 요구사항</t>
    </r>
  </si>
  <si>
    <t>특강 관리</t>
  </si>
  <si>
    <r>
      <rPr>
        <rFont val="Noto Sans"/>
        <color theme="1"/>
        <sz val="10.0"/>
      </rPr>
      <t xml:space="preserve">year + %04d(nextSeq) → </t>
    </r>
    <r>
      <rPr>
        <rFont val="Noto Sans CJK SC"/>
        <color theme="1"/>
        <sz val="10.0"/>
      </rPr>
      <t>예</t>
    </r>
    <r>
      <rPr>
        <rFont val="Noto Sans"/>
        <color theme="1"/>
        <sz val="10.0"/>
      </rPr>
      <t>: 2026-0001</t>
    </r>
  </si>
  <si>
    <r>
      <rPr>
        <rFont val="Noto Sans CJK SC"/>
        <color theme="1"/>
        <sz val="10.0"/>
      </rPr>
      <t xml:space="preserve">특강관리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접수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신청 명단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</si>
  <si>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설명회 신청만 보완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</si>
  <si>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요구사항 검증</t>
    </r>
    <r>
      <rPr>
        <rFont val="Noto Sans"/>
        <color theme="1"/>
        <sz val="10.0"/>
      </rPr>
      <t>(DSA)</t>
    </r>
  </si>
  <si>
    <t>설명회 신청 항목 추가 개발 범위 확인</t>
  </si>
  <si>
    <r>
      <rPr>
        <rFont val="Noto Sans CJK SC"/>
        <color theme="1"/>
        <sz val="10.0"/>
      </rPr>
      <t>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진행상태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일괄이동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</si>
  <si>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r>
      <rPr>
        <rFont val="Noto Sans"/>
        <color theme="1"/>
        <sz val="10.0"/>
      </rPr>
      <t>DSA F-4.1-3 '</t>
    </r>
    <r>
      <rPr>
        <rFont val="Noto Sans CJK SC"/>
        <color theme="1"/>
        <sz val="10.0"/>
      </rPr>
      <t>학번 자동부여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매년 초기화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요구사항과 일치</t>
    </r>
  </si>
  <si>
    <r>
      <rPr>
        <rFont val="Noto Sans"/>
        <color theme="1"/>
        <sz val="10.0"/>
      </rPr>
      <t xml:space="preserve">UNIQUE(year, student_no), </t>
    </r>
    <r>
      <rPr>
        <rFont val="Noto Sans CJK SC"/>
        <color theme="1"/>
        <sz val="10.0"/>
      </rPr>
      <t xml:space="preserve">학번을 </t>
    </r>
    <r>
      <rPr>
        <rFont val="Noto Sans"/>
        <color theme="1"/>
        <sz val="10.0"/>
      </rPr>
      <t>PK</t>
    </r>
    <r>
      <rPr>
        <rFont val="Noto Sans CJK SC"/>
        <color theme="1"/>
        <sz val="10.0"/>
      </rPr>
      <t>로 사용 금지</t>
    </r>
  </si>
  <si>
    <r>
      <rPr>
        <rFont val="Noto Sans"/>
        <color theme="1"/>
        <sz val="10.0"/>
      </rPr>
      <t xml:space="preserve">4.8 </t>
    </r>
    <r>
      <rPr>
        <rFont val="Noto Sans CJK SC"/>
        <color theme="1"/>
        <sz val="10.0"/>
      </rPr>
      <t>수납 관리</t>
    </r>
  </si>
  <si>
    <t>수납현황</t>
  </si>
  <si>
    <r>
      <rPr>
        <rFont val="Noto Sans CJK SC"/>
        <color theme="1"/>
        <sz val="10.0"/>
      </rPr>
      <t xml:space="preserve">수납현황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통합 매출장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</si>
  <si>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연동구조 확인 필요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</si>
  <si>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>API·</t>
    </r>
    <r>
      <rPr>
        <rFont val="Noto Sans CJK SC"/>
        <color theme="1"/>
        <sz val="10.0"/>
      </rPr>
      <t>등록비 결제주체 확정</t>
    </r>
  </si>
  <si>
    <t>F-4.2</t>
  </si>
  <si>
    <r>
      <rPr>
        <rFont val="Noto Sans CJK SC"/>
        <color theme="1"/>
        <sz val="10.0"/>
      </rPr>
      <t>기간검색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매출목록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엑셀다운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</si>
  <si>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#3(D-3), #5(D-5), #9(D-9)</t>
  </si>
  <si>
    <r>
      <rPr>
        <rFont val="Noto Sans"/>
        <color theme="1"/>
        <sz val="10.0"/>
      </rPr>
      <t xml:space="preserve">[D.Lab 4.2] </t>
    </r>
    <r>
      <rPr>
        <rFont val="Noto Sans CJK SC"/>
        <color theme="1"/>
        <sz val="10.0"/>
      </rPr>
      <t>대기자 관리</t>
    </r>
  </si>
  <si>
    <t>급식 가능일</t>
  </si>
  <si>
    <r>
      <rPr>
        <rFont val="Noto Sans"/>
        <color theme="1"/>
        <sz val="10.0"/>
      </rPr>
      <t xml:space="preserve">MealPolicy.availableDates — </t>
    </r>
    <r>
      <rPr>
        <rFont val="Noto Sans CJK SC"/>
        <color theme="1"/>
        <sz val="10.0"/>
      </rPr>
      <t>주말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공휴일 제외</t>
    </r>
  </si>
  <si>
    <r>
      <rPr>
        <rFont val="Noto Sans"/>
        <color theme="1"/>
        <sz val="10.0"/>
      </rPr>
      <t xml:space="preserve">4.9 </t>
    </r>
    <r>
      <rPr>
        <rFont val="Noto Sans CJK SC"/>
        <color theme="1"/>
        <sz val="10.0"/>
      </rPr>
      <t>교무업무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</si>
  <si>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</si>
  <si>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명단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출력</t>
    </r>
  </si>
  <si>
    <r>
      <rPr>
        <rFont val="Noto Sans CJK SC"/>
        <color theme="1"/>
        <sz val="10.0"/>
      </rPr>
      <t xml:space="preserve">기술문서 </t>
    </r>
    <r>
      <rPr>
        <rFont val="Noto Sans"/>
        <color theme="1"/>
        <sz val="10.0"/>
      </rPr>
      <t>8.4</t>
    </r>
  </si>
  <si>
    <r>
      <rPr>
        <rFont val="Noto Sans CJK SC"/>
        <color theme="1"/>
        <sz val="10.0"/>
      </rPr>
      <t xml:space="preserve">교무업무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명단조회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출력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수강생 대장</t>
    </r>
  </si>
  <si>
    <r>
      <rPr>
        <rFont val="Noto Sans"/>
        <color theme="1"/>
        <sz val="10.0"/>
      </rPr>
      <t>DSA/</t>
    </r>
    <r>
      <rPr>
        <rFont val="Noto Sans CJK SC"/>
        <color theme="1"/>
        <sz val="10.0"/>
      </rPr>
      <t>디멤버 화면엔 이 로직 자체가 없음 — 완전 신규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</si>
  <si>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필터 개선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</si>
  <si>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구분 항목 재정의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</si>
  <si>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D.Lab </t>
    </r>
    <r>
      <rPr>
        <rFont val="Noto Sans CJK SC"/>
        <color theme="1"/>
        <sz val="10.0"/>
      </rPr>
      <t>사이트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디멤버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입학예약자 → 대기자 자동 등록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순번 처리 알림 자동 발송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개별 메시지 발송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대기자→원생 원클릭 전환 </t>
    </r>
    <r>
      <rPr>
        <rFont val="Noto Sans"/>
        <color theme="1"/>
        <sz val="10.0"/>
      </rPr>
      <t xml:space="preserve">+ </t>
    </r>
    <r>
      <rPr>
        <rFont val="Noto Sans CJK SC"/>
        <color theme="1"/>
        <sz val="10.0"/>
      </rPr>
      <t>앱 초대 알림</t>
    </r>
  </si>
  <si>
    <r>
      <rPr>
        <rFont val="Noto Sans CJK SC"/>
        <color theme="1"/>
        <sz val="10.0"/>
      </rPr>
      <t>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테이블</t>
    </r>
    <r>
      <rPr>
        <rFont val="Noto Sans"/>
        <color theme="1"/>
        <sz val="10.0"/>
      </rPr>
      <t xml:space="preserve">·Copy/Excel/Print </t>
    </r>
    <r>
      <rPr>
        <rFont val="Noto Sans CJK SC"/>
        <color theme="1"/>
        <sz val="10.0"/>
      </rPr>
      <t>확인</t>
    </r>
  </si>
  <si>
    <t>#21(I-1)</t>
  </si>
  <si>
    <t>GET/POST/DELETE /api/v1/waitlist, POST .../notify · .../message · .../convert</t>
  </si>
  <si>
    <t>student_waitlist</t>
  </si>
  <si>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관리자 기능</t>
    </r>
  </si>
  <si>
    <t>기초 관리</t>
  </si>
  <si>
    <t>순공부시간 산출</t>
  </si>
  <si>
    <r>
      <rPr>
        <rFont val="Noto Sans CJK SC"/>
        <color theme="1"/>
        <sz val="10.0"/>
      </rPr>
      <t xml:space="preserve">기초관리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과정 관리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</si>
  <si>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</si>
  <si>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 xml:space="preserve">에는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특강관리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접수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대기자 접수</t>
    </r>
    <r>
      <rPr>
        <rFont val="Noto Sans"/>
        <color theme="1"/>
        <sz val="10.0"/>
      </rPr>
      <t>'(</t>
    </r>
    <r>
      <rPr>
        <rFont val="Noto Sans CJK SC"/>
        <color theme="1"/>
        <sz val="10.0"/>
      </rPr>
      <t>특강 대기자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화면만 존재하며 대상 자체가 다름</t>
    </r>
    <r>
      <rPr>
        <rFont val="Noto Sans"/>
        <color theme="1"/>
        <sz val="10.0"/>
      </rPr>
      <t xml:space="preserve">(D.Lab </t>
    </r>
    <r>
      <rPr>
        <rFont val="Noto Sans CJK SC"/>
        <color theme="1"/>
        <sz val="10.0"/>
      </rPr>
      <t>사이트 입학예약자 아님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대기목록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수납청구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대기삭제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구조만 참고 가능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요구사항은 완전 신규 정의</t>
    </r>
  </si>
  <si>
    <r>
      <rPr>
        <rFont val="Noto Sans CJK SC"/>
        <color theme="1"/>
        <sz val="10.0"/>
      </rPr>
      <t>정의 미확정 — 입퇴실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좌석없음 반영 여부</t>
    </r>
  </si>
  <si>
    <r>
      <rPr>
        <rFont val="Noto Sans CJK SC"/>
        <color theme="1"/>
        <sz val="10.0"/>
      </rPr>
      <t>과정목록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삭제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</si>
  <si>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확인 필요</t>
  </si>
  <si>
    <r>
      <rPr>
        <rFont val="Noto Sans CJK SC"/>
        <color theme="1"/>
        <sz val="10.0"/>
      </rPr>
      <t xml:space="preserve">기획정리 </t>
    </r>
    <r>
      <rPr>
        <rFont val="Noto Sans"/>
        <color theme="1"/>
        <sz val="10.0"/>
      </rPr>
      <t>I-6</t>
    </r>
  </si>
  <si>
    <r>
      <rPr>
        <rFont val="Noto Sans"/>
        <color theme="1"/>
        <sz val="10.0"/>
      </rPr>
      <t xml:space="preserve">Daily Report </t>
    </r>
    <r>
      <rPr>
        <rFont val="Noto Sans CJK SC"/>
        <color theme="1"/>
        <sz val="10.0"/>
      </rPr>
      <t>설계 전 운영팀 확정 필요</t>
    </r>
  </si>
  <si>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관리자 기능</t>
    </r>
  </si>
  <si>
    <t>사용자 관리</t>
  </si>
  <si>
    <r>
      <rPr>
        <rFont val="Noto Sans CJK SC"/>
        <color theme="1"/>
        <sz val="10.0"/>
      </rPr>
      <t xml:space="preserve">사용자 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사용자관리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</si>
  <si>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, RBAC</t>
    </r>
    <r>
      <rPr>
        <rFont val="Noto Sans CJK SC"/>
        <b/>
        <color theme="1"/>
        <sz val="9.0"/>
      </rPr>
      <t>는 신규설계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</si>
  <si>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지점선택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사용자목록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승인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탈퇴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</si>
  <si>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F-4.3</t>
  </si>
  <si>
    <t>상벌점 자동부여</t>
  </si>
  <si>
    <r>
      <rPr>
        <rFont val="Noto Sans"/>
        <color theme="1"/>
        <sz val="10.0"/>
      </rPr>
      <t xml:space="preserve">[D.Lab 4.3] </t>
    </r>
    <r>
      <rPr>
        <rFont val="Noto Sans CJK SC"/>
        <color theme="1"/>
        <sz val="10.0"/>
      </rPr>
      <t>출결 관리</t>
    </r>
  </si>
  <si>
    <r>
      <rPr>
        <rFont val="Noto Sans"/>
        <color theme="1"/>
        <sz val="10.0"/>
      </rPr>
      <t>PenaltyRuleEngine.apply(</t>
    </r>
    <r>
      <rPr>
        <rFont val="Noto Sans CJK SC"/>
        <color theme="1"/>
        <sz val="10.0"/>
      </rPr>
      <t>트리거</t>
    </r>
    <r>
      <rPr>
        <rFont val="Noto Sans"/>
        <color theme="1"/>
        <sz val="10.0"/>
      </rPr>
      <t xml:space="preserve">) — </t>
    </r>
    <r>
      <rPr>
        <rFont val="Noto Sans CJK SC"/>
        <color theme="1"/>
        <sz val="10.0"/>
      </rPr>
      <t>트리거→점수 매핑 규칙</t>
    </r>
  </si>
  <si>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</si>
  <si>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배정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기숙사 등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</si>
  <si>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</si>
  <si>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r>
      <rPr>
        <rFont val="Noto Sans CJK SC"/>
        <color theme="1"/>
        <sz val="10.0"/>
      </rPr>
      <t xml:space="preserve">관리자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배정관리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기숙사 배정 관리</t>
    </r>
  </si>
  <si>
    <r>
      <rPr>
        <rFont val="Noto Sans CJK SC"/>
        <color theme="1"/>
        <sz val="10.0"/>
      </rPr>
      <t xml:space="preserve">기획정리 </t>
    </r>
    <r>
      <rPr>
        <rFont val="Noto Sans"/>
        <color theme="1"/>
        <sz val="10.0"/>
      </rPr>
      <t>I-5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</si>
  <si>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</si>
  <si>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는 수기 점수부여만 확인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자동 트리거 매핑 규칙 미확정</t>
    </r>
  </si>
  <si>
    <r>
      <rPr>
        <rFont val="Noto Sans CJK SC"/>
        <color theme="1"/>
        <sz val="10.0"/>
      </rPr>
      <t>학생목록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일괄배정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기숙사목록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</si>
  <si>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r>
      <rPr>
        <rFont val="Noto Sans CJK SC"/>
        <color theme="1"/>
        <sz val="10.0"/>
      </rPr>
      <t>키오스크 실시간 수신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경유 제거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직접 연동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일별 현황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담당 반 필터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사유 실시간 수신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승인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</t>
    </r>
  </si>
  <si>
    <r>
      <rPr>
        <rFont val="Noto Sans"/>
        <color theme="1"/>
        <sz val="10.0"/>
      </rPr>
      <t xml:space="preserve">POST /webhooks/kiosk/attendance — </t>
    </r>
    <r>
      <rPr>
        <rFont val="Noto Sans CJK SC"/>
        <color theme="1"/>
        <sz val="10.0"/>
      </rPr>
      <t xml:space="preserve">서명검증 → </t>
    </r>
    <r>
      <rPr>
        <rFont val="Noto Sans"/>
        <color theme="1"/>
        <sz val="10.0"/>
      </rPr>
      <t xml:space="preserve">NFC/RFID 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-</t>
    </r>
    <r>
      <rPr>
        <rFont val="Noto Sans CJK SC"/>
        <color theme="1"/>
        <sz val="10.0"/>
      </rPr>
      <t>학번 매핑 → 상태계산</t>
    </r>
    <r>
      <rPr>
        <rFont val="Noto Sans"/>
        <color theme="1"/>
        <sz val="10.0"/>
      </rPr>
      <t xml:space="preserve">(ON_TIME/LATE/ABSENT/OUT/EXCUSED) → </t>
    </r>
    <r>
      <rPr>
        <rFont val="Noto Sans CJK SC"/>
        <color theme="1"/>
        <sz val="10.0"/>
      </rPr>
      <t xml:space="preserve">알림톡 → </t>
    </r>
    <r>
      <rPr>
        <rFont val="Noto Sans"/>
        <color theme="1"/>
        <sz val="10.0"/>
      </rPr>
      <t xml:space="preserve">PenaltyRuleEngine </t>
    </r>
    <r>
      <rPr>
        <rFont val="Noto Sans CJK SC"/>
        <color theme="1"/>
        <sz val="10.0"/>
      </rPr>
      <t>적용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결석은 배치 스케줄러
▷</t>
    </r>
    <r>
      <rPr>
        <rFont val="Noto Sans"/>
        <color theme="1"/>
        <sz val="10.0"/>
      </rPr>
      <t xml:space="preserve">[0723] </t>
    </r>
    <r>
      <rPr>
        <rFont val="Noto Sans CJK SC"/>
        <color theme="1"/>
        <sz val="10.0"/>
      </rPr>
      <t>사유 지각신청 없이 미등원 시 학생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학부모에게 지각 알림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지각사유 회신 요청 자동 발송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무단지각 자동 감지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</si>
  <si>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</si>
  <si>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특강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기초설정</t>
    </r>
    <r>
      <rPr>
        <rFont val="Noto Sans"/>
        <color theme="1"/>
        <sz val="10.0"/>
      </rPr>
      <t>)</t>
    </r>
  </si>
  <si>
    <t>attendance_logs, absence_requests, study_sessions</t>
  </si>
  <si>
    <r>
      <rPr>
        <rFont val="Noto Sans CJK SC"/>
        <color theme="1"/>
        <sz val="10.0"/>
      </rPr>
      <t xml:space="preserve">관리자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특강관리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특강 관리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</si>
  <si>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설명회 항목만 확인필요</t>
    </r>
    <r>
      <rPr>
        <rFont val="Noto Sans"/>
        <b/>
        <color theme="1"/>
        <sz val="9.0"/>
      </rPr>
      <t>)</t>
    </r>
  </si>
  <si>
    <t>설명회 신청 추가개발 여부</t>
  </si>
  <si>
    <r>
      <rPr>
        <rFont val="Noto Sans CJK SC"/>
        <color theme="1"/>
        <sz val="10.0"/>
      </rPr>
      <t>상태필터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특강목록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배정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</si>
  <si>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r>
      <rPr>
        <rFont val="Noto Sans"/>
        <color theme="1"/>
        <sz val="10.0"/>
      </rPr>
      <t>DSA 'D.Lab&gt;</t>
    </r>
    <r>
      <rPr>
        <rFont val="Noto Sans CJK SC"/>
        <color theme="1"/>
        <sz val="10.0"/>
      </rPr>
      <t>출결 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검색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학번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좌석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날짜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출결목록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등원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하원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외출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공부시간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 xml:space="preserve">학습시간 일괄계산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단 현재는 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 xml:space="preserve">경유 수신 구조로 추정 — 직접 </t>
    </r>
    <r>
      <rPr>
        <rFont val="Noto Sans"/>
        <color theme="1"/>
        <sz val="10.0"/>
      </rPr>
      <t xml:space="preserve">Webhook </t>
    </r>
    <r>
      <rPr>
        <rFont val="Noto Sans CJK SC"/>
        <color theme="1"/>
        <sz val="10.0"/>
      </rPr>
      <t>연동은 신규 구현</t>
    </r>
  </si>
  <si>
    <t>③ 채번 규칙</t>
  </si>
  <si>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</si>
  <si>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수납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청구기준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</si>
  <si>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관리자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 xml:space="preserve">수납관리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청구기준 관리</t>
    </r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</si>
  <si>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</si>
  <si>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등록비 결제주체</t>
    </r>
    <r>
      <rPr>
        <rFont val="Noto Sans"/>
        <color theme="1"/>
        <sz val="10.0"/>
      </rPr>
      <t xml:space="preserve">(D-9) </t>
    </r>
    <r>
      <rPr>
        <rFont val="Noto Sans CJK SC"/>
        <color theme="1"/>
        <sz val="10.0"/>
      </rPr>
      <t>확정</t>
    </r>
  </si>
  <si>
    <r>
      <rPr>
        <rFont val="Noto Sans CJK SC"/>
        <color theme="1"/>
        <sz val="10.0"/>
      </rPr>
      <t>상태필터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청구기준목록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</si>
  <si>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#9(D-9)</t>
  </si>
  <si>
    <t>F-4.4</t>
  </si>
  <si>
    <r>
      <rPr>
        <rFont val="Noto Sans"/>
        <color theme="1"/>
        <sz val="10.0"/>
      </rPr>
      <t xml:space="preserve">[D.Lab 4.4] </t>
    </r>
    <r>
      <rPr>
        <rFont val="Noto Sans CJK SC"/>
        <color theme="1"/>
        <sz val="10.0"/>
      </rPr>
      <t>메시지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알림</t>
    </r>
  </si>
  <si>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관리자 기능</t>
    </r>
  </si>
  <si>
    <t>실적 관리</t>
  </si>
  <si>
    <t>대상</t>
  </si>
  <si>
    <r>
      <rPr>
        <rFont val="Noto Sans CJK SC"/>
        <color theme="1"/>
        <sz val="10.0"/>
      </rPr>
      <t xml:space="preserve">실적 </t>
    </r>
    <r>
      <rPr>
        <rFont val="Noto Sans"/>
        <color theme="1"/>
        <sz val="10.0"/>
      </rPr>
      <t xml:space="preserve">&gt; </t>
    </r>
    <r>
      <rPr>
        <rFont val="Noto Sans CJK SC"/>
        <color theme="1"/>
        <sz val="10.0"/>
      </rPr>
      <t>실적 입력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부산기숙</t>
    </r>
    <r>
      <rPr>
        <rFont val="Noto Sans"/>
        <color theme="1"/>
        <sz val="10.0"/>
      </rPr>
      <t>)</t>
    </r>
  </si>
  <si>
    <t>규칙</t>
  </si>
  <si>
    <r>
      <rPr>
        <rFont val="Noto Sans CJK SC"/>
        <b/>
        <color theme="1"/>
        <sz val="9.0"/>
      </rPr>
      <t>확정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요구사항 검증</t>
    </r>
    <r>
      <rPr>
        <rFont val="Noto Sans"/>
        <b/>
        <color theme="1"/>
        <sz val="9.0"/>
      </rPr>
      <t>)</t>
    </r>
  </si>
  <si>
    <t>확정 여부</t>
  </si>
  <si>
    <t>출처</t>
  </si>
  <si>
    <r>
      <rPr>
        <rFont val="Noto Sans CJK SC"/>
        <color theme="1"/>
        <sz val="10.0"/>
      </rPr>
      <t>연도선택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실적목록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수정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</si>
  <si>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r>
      <rPr>
        <rFont val="Noto Sans CJK SC"/>
        <color theme="1"/>
        <sz val="10.0"/>
      </rPr>
      <t>문자 발송 → 카카오톡 발송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문자 병행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</si>
  <si>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</si>
  <si>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 xml:space="preserve">데일리 루틴 관리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</si>
  <si>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</si>
  <si>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r>
      <rPr>
        <rFont val="Noto Sans CJK SC"/>
        <color theme="1"/>
        <sz val="10.0"/>
      </rPr>
      <t>상벌점 규칙매핑</t>
    </r>
    <r>
      <rPr>
        <rFont val="Noto Sans"/>
        <color theme="1"/>
        <sz val="10.0"/>
      </rPr>
      <t>(I-5)</t>
    </r>
  </si>
  <si>
    <r>
      <rPr>
        <rFont val="Noto Sans CJK SC"/>
        <color theme="1"/>
        <sz val="10.0"/>
      </rPr>
      <t>개별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단체 발송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출결 자동 발송 템플릿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등원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지각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결석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대기자 알림 자동 발송</t>
    </r>
  </si>
  <si>
    <r>
      <rPr>
        <rFont val="Noto Sans CJK SC"/>
        <color theme="1"/>
        <sz val="10.0"/>
      </rPr>
      <t>학번</t>
    </r>
    <r>
      <rPr>
        <rFont val="Noto Sans"/>
        <color theme="1"/>
        <sz val="10.0"/>
      </rPr>
      <t>(students)</t>
    </r>
  </si>
  <si>
    <r>
      <rPr>
        <rFont val="Noto Sans CJK SC"/>
        <color theme="1"/>
        <sz val="10.0"/>
      </rPr>
      <t xml:space="preserve">알림 채널 이중화 — 카카오 알림톡 </t>
    </r>
    <r>
      <rPr>
        <rFont val="Noto Sans"/>
        <color theme="1"/>
        <sz val="10.0"/>
      </rPr>
      <t xml:space="preserve">+ FCM. </t>
    </r>
    <r>
      <rPr>
        <rFont val="Noto Sans CJK SC"/>
        <color theme="1"/>
        <sz val="10.0"/>
      </rPr>
      <t>알림톡 심사 결과에 따라 문자 병행 여부 결정</t>
    </r>
  </si>
  <si>
    <r>
      <rPr>
        <rFont val="Noto Sans"/>
        <color theme="1"/>
        <sz val="10.0"/>
      </rPr>
      <t>year + seq (</t>
    </r>
    <r>
      <rPr>
        <rFont val="Noto Sans CJK SC"/>
        <color theme="1"/>
        <sz val="10.0"/>
      </rPr>
      <t>예</t>
    </r>
    <r>
      <rPr>
        <rFont val="Noto Sans"/>
        <color theme="1"/>
        <sz val="10.0"/>
      </rPr>
      <t>: 2026-0001)</t>
    </r>
  </si>
  <si>
    <t>확정</t>
  </si>
  <si>
    <t>notification_logs, notification_templates</t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</si>
  <si>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</si>
  <si>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 xml:space="preserve">기술문서 </t>
    </r>
    <r>
      <rPr>
        <rFont val="Noto Sans"/>
        <color theme="1"/>
        <sz val="10.0"/>
      </rPr>
      <t>4.3</t>
    </r>
  </si>
  <si>
    <r>
      <rPr>
        <rFont val="Noto Sans CJK SC"/>
        <color theme="1"/>
        <sz val="10.0"/>
      </rPr>
      <t>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일 학습 계획 관리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</si>
  <si>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실사 요구사항과 일치</t>
    </r>
  </si>
  <si>
    <r>
      <rPr>
        <rFont val="Noto Sans"/>
        <color theme="1"/>
        <sz val="10.0"/>
      </rPr>
      <t>'</t>
    </r>
    <r>
      <rPr>
        <rFont val="Noto Sans CJK SC"/>
        <color theme="1"/>
        <sz val="10.0"/>
      </rPr>
      <t>파란색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항목 정의</t>
    </r>
    <r>
      <rPr>
        <rFont val="Noto Sans"/>
        <color theme="1"/>
        <sz val="10.0"/>
      </rPr>
      <t>(I-7)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</si>
  <si>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문자발송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메시지 단체발송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상세 검색필터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대상 조회인원</t>
    </r>
    <r>
      <rPr>
        <rFont val="Noto Sans"/>
        <color theme="1"/>
        <sz val="10.0"/>
      </rPr>
      <t>(189</t>
    </r>
    <r>
      <rPr>
        <rFont val="Noto Sans CJK SC"/>
        <color theme="1"/>
        <sz val="10.0"/>
      </rPr>
      <t>명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직접입력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고정메시지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예약발송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현재는 </t>
    </r>
    <r>
      <rPr>
        <rFont val="Noto Sans"/>
        <color theme="1"/>
        <sz val="10.0"/>
      </rPr>
      <t xml:space="preserve">SMS </t>
    </r>
    <r>
      <rPr>
        <rFont val="Noto Sans CJK SC"/>
        <color theme="1"/>
        <sz val="10.0"/>
      </rPr>
      <t>발송 구조로 추정 — 카카오 알림톡 전환 및 자동발송 템플릿은 화면에 없어 신규 요구사항</t>
    </r>
  </si>
  <si>
    <t>#27(I-7)</t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</si>
  <si>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</si>
  <si>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메시지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공지</t>
    </r>
    <r>
      <rPr>
        <rFont val="Noto Sans"/>
        <color theme="1"/>
        <sz val="10.0"/>
      </rPr>
      <t>·1:1</t>
    </r>
    <r>
      <rPr>
        <rFont val="Noto Sans CJK SC"/>
        <color theme="1"/>
        <sz val="10.0"/>
      </rPr>
      <t>채팅 등</t>
    </r>
    <r>
      <rPr>
        <rFont val="Noto Sans"/>
        <color theme="1"/>
        <sz val="10.0"/>
      </rPr>
      <t>) 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</si>
  <si>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 CJK SC"/>
        <color theme="1"/>
        <sz val="10.0"/>
      </rPr>
      <t>급식 주문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결제 전표번호</t>
    </r>
  </si>
  <si>
    <r>
      <rPr>
        <rFont val="Noto Sans"/>
        <color theme="1"/>
        <sz val="10.0"/>
      </rPr>
      <t>F-4.4</t>
    </r>
    <r>
      <rPr>
        <rFont val="Noto Sans CJK SC"/>
        <color theme="1"/>
        <sz val="10.0"/>
      </rPr>
      <t>와 발송권한 개념 일부 유사</t>
    </r>
  </si>
  <si>
    <t>명시된 채번 규칙 없음</t>
  </si>
  <si>
    <r>
      <rPr>
        <rFont val="Noto Sans CJK SC"/>
        <b/>
        <color theme="1"/>
        <sz val="9.0"/>
      </rPr>
      <t>신규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확장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</si>
  <si>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메신저 선정</t>
    </r>
    <r>
      <rPr>
        <rFont val="Noto Sans"/>
        <color theme="1"/>
        <sz val="10.0"/>
      </rPr>
      <t>(E-6)·</t>
    </r>
    <r>
      <rPr>
        <rFont val="Noto Sans CJK SC"/>
        <color theme="1"/>
        <sz val="10.0"/>
      </rPr>
      <t>행정요청 목록</t>
    </r>
    <r>
      <rPr>
        <rFont val="Noto Sans"/>
        <color theme="1"/>
        <sz val="10.0"/>
      </rPr>
      <t>(I-3)</t>
    </r>
  </si>
  <si>
    <r>
      <rPr>
        <rFont val="Noto Sans CJK SC"/>
        <color theme="1"/>
        <sz val="10.0"/>
      </rPr>
      <t xml:space="preserve">문자발송 </t>
    </r>
    <r>
      <rPr>
        <rFont val="Noto Sans"/>
        <color theme="1"/>
        <sz val="10.0"/>
      </rPr>
      <t>UI</t>
    </r>
    <r>
      <rPr>
        <rFont val="Noto Sans CJK SC"/>
        <color theme="1"/>
        <sz val="10.0"/>
      </rPr>
      <t>의 권한개념만 참고</t>
    </r>
  </si>
  <si>
    <t>#20(E-6), #23(I-3)</t>
  </si>
  <si>
    <t>F-4.5</t>
  </si>
  <si>
    <r>
      <rPr>
        <rFont val="Noto Sans"/>
        <color theme="1"/>
        <sz val="10.0"/>
      </rPr>
      <t xml:space="preserve">PG </t>
    </r>
    <r>
      <rPr>
        <rFont val="Noto Sans CJK SC"/>
        <color theme="1"/>
        <sz val="10.0"/>
      </rPr>
      <t>연동정보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가맹점정보</t>
    </r>
    <r>
      <rPr>
        <rFont val="Noto Sans"/>
        <color theme="1"/>
        <sz val="10.0"/>
      </rPr>
      <t>·API</t>
    </r>
    <r>
      <rPr>
        <rFont val="Noto Sans CJK SC"/>
        <color theme="1"/>
        <sz val="10.0"/>
      </rPr>
      <t>스펙</t>
    </r>
    <r>
      <rPr>
        <rFont val="Noto Sans"/>
        <color theme="1"/>
        <sz val="10.0"/>
      </rPr>
      <t xml:space="preserve">, E-3) </t>
    </r>
    <r>
      <rPr>
        <rFont val="Noto Sans CJK SC"/>
        <color theme="1"/>
        <sz val="10.0"/>
      </rPr>
      <t>확보 이후 전표체계 신규 설계 필요 — 오픈이슈 신규 등록 권장</t>
    </r>
  </si>
  <si>
    <r>
      <rPr>
        <rFont val="Noto Sans"/>
        <color theme="1"/>
        <sz val="10.0"/>
      </rPr>
      <t xml:space="preserve">[D.Lab 4.5] </t>
    </r>
    <r>
      <rPr>
        <rFont val="Noto Sans CJK SC"/>
        <color theme="1"/>
        <sz val="10.0"/>
      </rPr>
      <t>급식 관리</t>
    </r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</si>
  <si>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</si>
  <si>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급식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디멤버 급식신청 대체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</si>
  <si>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상담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일지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리포트</t>
    </r>
    <r>
      <rPr>
        <rFont val="Noto Sans"/>
        <color theme="1"/>
        <sz val="10.0"/>
      </rPr>
      <t>) 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</si>
  <si>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</si>
  <si>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대응 화면 없음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구글시트로 운영 중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</si>
  <si>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상담양식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발송주기</t>
    </r>
    <r>
      <rPr>
        <rFont val="Noto Sans"/>
        <color theme="1"/>
        <sz val="10.0"/>
      </rPr>
      <t>(I-2)</t>
    </r>
  </si>
  <si>
    <t>#22(I-2)</t>
  </si>
  <si>
    <t>수납 전표번호</t>
  </si>
  <si>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연동 시 대성전산 채번 체계 그대로 사용 추정</t>
    </r>
  </si>
  <si>
    <r>
      <rPr>
        <rFont val="Noto Sans CJK SC"/>
        <color theme="1"/>
        <sz val="10.0"/>
      </rPr>
      <t>월별 신청 현황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결제 내역 조회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관리자 취소</t>
    </r>
    <r>
      <rPr>
        <rFont val="Noto Sans"/>
        <color theme="1"/>
        <sz val="10.0"/>
      </rPr>
      <t>(3</t>
    </r>
    <r>
      <rPr>
        <rFont val="Noto Sans CJK SC"/>
        <color theme="1"/>
        <sz val="10.0"/>
      </rPr>
      <t>일 제한 없이 즉시</t>
    </r>
    <r>
      <rPr>
        <rFont val="Noto Sans"/>
        <color theme="1"/>
        <sz val="10.0"/>
      </rPr>
      <t>)/</t>
    </r>
    <r>
      <rPr>
        <rFont val="Noto Sans CJK SC"/>
        <color theme="1"/>
        <sz val="10.0"/>
      </rPr>
      <t>앱 취소</t>
    </r>
    <r>
      <rPr>
        <rFont val="Noto Sans"/>
        <color theme="1"/>
        <sz val="10.0"/>
      </rPr>
      <t>(3</t>
    </r>
    <r>
      <rPr>
        <rFont val="Noto Sans CJK SC"/>
        <color theme="1"/>
        <sz val="10.0"/>
      </rPr>
      <t>일 전</t>
    </r>
    <r>
      <rPr>
        <rFont val="Noto Sans"/>
        <color theme="1"/>
        <sz val="10.0"/>
      </rPr>
      <t xml:space="preserve">, PG </t>
    </r>
    <r>
      <rPr>
        <rFont val="Noto Sans CJK SC"/>
        <color theme="1"/>
        <sz val="10.0"/>
      </rPr>
      <t>자동환불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수납 자동 반영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데스크 당일 신청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미확정</t>
    </r>
    <r>
      <rPr>
        <rFont val="Noto Sans"/>
        <color theme="1"/>
        <sz val="10.0"/>
      </rPr>
      <t>)</t>
    </r>
  </si>
  <si>
    <t>D-3</t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</si>
  <si>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</si>
  <si>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 xml:space="preserve">자체 채번 여부는 </t>
    </r>
    <r>
      <rPr>
        <rFont val="Noto Sans"/>
        <color theme="1"/>
        <sz val="10.0"/>
      </rPr>
      <t xml:space="preserve">D-3 </t>
    </r>
    <r>
      <rPr>
        <rFont val="Noto Sans CJK SC"/>
        <color theme="1"/>
        <sz val="10.0"/>
      </rPr>
      <t>확정 후 결정</t>
    </r>
  </si>
  <si>
    <r>
      <rPr>
        <rFont val="Noto Sans CJK SC"/>
        <color theme="1"/>
        <sz val="10.0"/>
      </rPr>
      <t xml:space="preserve">승인 라우팅 관리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</si>
  <si>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r>
      <rPr>
        <rFont val="Noto Sans"/>
        <color theme="1"/>
        <sz val="10.0"/>
      </rPr>
      <t>F-4.1-5</t>
    </r>
    <r>
      <rPr>
        <rFont val="Noto Sans CJK SC"/>
        <color theme="1"/>
        <sz val="10.0"/>
      </rPr>
      <t>와 목적 유사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승인주체만 다름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</si>
  <si>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</t>
    </r>
    <r>
      <rPr>
        <rFont val="Noto Sans"/>
        <b/>
        <color theme="1"/>
        <sz val="9.0"/>
      </rPr>
      <t>(</t>
    </r>
    <r>
      <rPr>
        <rFont val="Noto Sans CJK SC"/>
        <b/>
        <color theme="1"/>
        <sz val="9.0"/>
      </rPr>
      <t>확장</t>
    </r>
    <r>
      <rPr>
        <rFont val="Noto Sans"/>
        <b/>
        <color theme="1"/>
        <sz val="9.0"/>
      </rPr>
      <t>)</t>
    </r>
  </si>
  <si>
    <r>
      <rPr>
        <rFont val="Noto Sans CJK SC"/>
        <color theme="1"/>
        <sz val="10.0"/>
      </rPr>
      <t>승인주체 매트릭스</t>
    </r>
    <r>
      <rPr>
        <rFont val="Noto Sans"/>
        <color theme="1"/>
        <sz val="10.0"/>
      </rPr>
      <t>(I-12)</t>
    </r>
  </si>
  <si>
    <t>관리자 직접처리 구조만 참고</t>
  </si>
  <si>
    <r>
      <rPr>
        <rFont val="Noto Sans"/>
        <color theme="1"/>
        <sz val="10.0"/>
      </rPr>
      <t>MealPolicy(</t>
    </r>
    <r>
      <rPr>
        <rFont val="Noto Sans CJK SC"/>
        <color theme="1"/>
        <sz val="10.0"/>
      </rPr>
      <t>주말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공휴일 제외</t>
    </r>
    <r>
      <rPr>
        <rFont val="Noto Sans"/>
        <color theme="1"/>
        <sz val="10.0"/>
      </rPr>
      <t>), createOrder(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가상계좌 분기</t>
    </r>
    <r>
      <rPr>
        <rFont val="Noto Sans"/>
        <color theme="1"/>
        <sz val="10.0"/>
      </rPr>
      <t>), cancelItem(</t>
    </r>
    <r>
      <rPr>
        <rFont val="Noto Sans CJK SC"/>
        <color theme="1"/>
        <sz val="10.0"/>
      </rPr>
      <t xml:space="preserve">앱 </t>
    </r>
    <r>
      <rPr>
        <rFont val="Noto Sans"/>
        <color theme="1"/>
        <sz val="10.0"/>
      </rPr>
      <t>3</t>
    </r>
    <r>
      <rPr>
        <rFont val="Noto Sans CJK SC"/>
        <color theme="1"/>
        <sz val="10.0"/>
      </rPr>
      <t xml:space="preserve">일전 </t>
    </r>
    <r>
      <rPr>
        <rFont val="Noto Sans"/>
        <color theme="1"/>
        <sz val="10.0"/>
      </rPr>
      <t>PG</t>
    </r>
    <r>
      <rPr>
        <rFont val="Noto Sans CJK SC"/>
        <color theme="1"/>
        <sz val="10.0"/>
      </rPr>
      <t xml:space="preserve">환불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관리자 즉시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가상계좌 만료 스케줄러</t>
    </r>
    <r>
      <rPr>
        <rFont val="Noto Sans"/>
        <color theme="1"/>
        <sz val="10.0"/>
      </rPr>
      <t>(10</t>
    </r>
    <r>
      <rPr>
        <rFont val="Noto Sans CJK SC"/>
        <color theme="1"/>
        <sz val="10.0"/>
      </rPr>
      <t>분 주기</t>
    </r>
    <r>
      <rPr>
        <rFont val="Noto Sans"/>
        <color theme="1"/>
        <sz val="10.0"/>
      </rPr>
      <t xml:space="preserve">)
▷[0723] </t>
    </r>
    <r>
      <rPr>
        <rFont val="Noto Sans CJK SC"/>
        <color theme="1"/>
        <sz val="10.0"/>
      </rPr>
      <t>식사체크 주체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관리자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교직원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학생 아님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키오스크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관리자용 소형 패드 병행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안면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지문 생체인식은 검토대상</t>
    </r>
    <r>
      <rPr>
        <rFont val="Noto Sans"/>
        <color theme="1"/>
        <sz val="10.0"/>
      </rPr>
      <t xml:space="preserve">(ISMS </t>
    </r>
    <r>
      <rPr>
        <rFont val="Noto Sans CJK SC"/>
        <color theme="1"/>
        <sz val="10.0"/>
      </rPr>
      <t>유의</t>
    </r>
    <r>
      <rPr>
        <rFont val="Noto Sans"/>
        <color theme="1"/>
        <sz val="10.0"/>
      </rPr>
      <t>)</t>
    </r>
  </si>
  <si>
    <t>#32(I-12)</t>
  </si>
  <si>
    <t>meal_orders, meal_order_items, meal_policies, payment_transactions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</si>
  <si>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 xml:space="preserve">에는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디멤버 급식신청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신청관리</t>
    </r>
    <r>
      <rPr>
        <rFont val="Noto Sans"/>
        <color theme="1"/>
        <sz val="10.0"/>
      </rPr>
      <t>'(</t>
    </r>
    <r>
      <rPr>
        <rFont val="Noto Sans CJK SC"/>
        <color theme="1"/>
        <sz val="10.0"/>
      </rPr>
      <t>디멤버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종이 신청 방식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화면만 존재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학생별 신청목록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구조만 참고 가능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가상계좌 결제분기</t>
    </r>
    <r>
      <rPr>
        <rFont val="Noto Sans"/>
        <color theme="1"/>
        <sz val="10.0"/>
      </rPr>
      <t>·3</t>
    </r>
    <r>
      <rPr>
        <rFont val="Noto Sans CJK SC"/>
        <color theme="1"/>
        <sz val="10.0"/>
      </rPr>
      <t>일취소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수납자동반영 등 핵심 로직은 화면 어디에도 없어 완전 신규</t>
    </r>
    <r>
      <rPr>
        <rFont val="Noto Sans"/>
        <color theme="1"/>
        <sz val="10.0"/>
      </rPr>
      <t>. PG</t>
    </r>
    <r>
      <rPr>
        <rFont val="Noto Sans CJK SC"/>
        <color theme="1"/>
        <sz val="10.0"/>
      </rPr>
      <t>사는 급식업체를 통해 이미 확보되어 있어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 선정 불필요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연동정보</t>
    </r>
    <r>
      <rPr>
        <rFont val="Noto Sans"/>
        <color theme="1"/>
        <sz val="10.0"/>
      </rPr>
      <t xml:space="preserve">(E-3) </t>
    </r>
    <r>
      <rPr>
        <rFont val="Noto Sans CJK SC"/>
        <color theme="1"/>
        <sz val="10.0"/>
      </rPr>
      <t>수급이 관건</t>
    </r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</si>
  <si>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</si>
  <si>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"/>
        <color theme="1"/>
        <sz val="10.0"/>
      </rPr>
      <t xml:space="preserve">Daily Report </t>
    </r>
    <r>
      <rPr>
        <rFont val="Noto Sans CJK SC"/>
        <color theme="1"/>
        <sz val="10.0"/>
      </rPr>
      <t>집계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서버</t>
    </r>
    <r>
      <rPr>
        <rFont val="Noto Sans"/>
        <color theme="1"/>
        <sz val="10.0"/>
      </rPr>
      <t>) 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</si>
  <si>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t>#4(D-4), #6(D-6), #17(E-3), #18(E-4), #33(I-13), #38(I-18)</t>
  </si>
  <si>
    <r>
      <rPr>
        <rFont val="Noto Sans CJK SC"/>
        <color theme="1"/>
        <sz val="10.0"/>
      </rPr>
      <t>순공시간 산출</t>
    </r>
    <r>
      <rPr>
        <rFont val="Noto Sans"/>
        <color theme="1"/>
        <sz val="10.0"/>
      </rPr>
      <t>(I-6)</t>
    </r>
  </si>
  <si>
    <t>④ 화면 저장 방식 정책</t>
  </si>
  <si>
    <t>#26(I-6), #34(I-14)</t>
  </si>
  <si>
    <r>
      <rPr>
        <rFont val="Noto Sans"/>
        <color theme="1"/>
        <sz val="10.0"/>
      </rPr>
      <t xml:space="preserve">4.11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</si>
  <si>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대면 질의응답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영단어 시험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]</t>
    </r>
  </si>
  <si>
    <t>F-4.6</t>
  </si>
  <si>
    <r>
      <rPr>
        <rFont val="Noto Sans"/>
        <color theme="1"/>
        <sz val="10.0"/>
      </rPr>
      <t xml:space="preserve">[D.Lab 4.6] </t>
    </r>
    <r>
      <rPr>
        <rFont val="Noto Sans CJK SC"/>
        <color theme="1"/>
        <sz val="10.0"/>
      </rPr>
      <t>성적 관리</t>
    </r>
  </si>
  <si>
    <t>성적 관리</t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</si>
  <si>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</si>
  <si>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t>패턴</t>
  </si>
  <si>
    <r>
      <rPr>
        <rFont val="Noto Sans CJK SC"/>
        <b/>
        <color rgb="FFFFFFFF"/>
        <sz val="10.0"/>
      </rPr>
      <t>적용 화면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예상</t>
    </r>
    <r>
      <rPr>
        <rFont val="Noto Sans"/>
        <b/>
        <color rgb="FFFFFFFF"/>
        <sz val="10.0"/>
      </rPr>
      <t>)</t>
    </r>
  </si>
  <si>
    <t>동작 방식</t>
  </si>
  <si>
    <r>
      <rPr>
        <rFont val="Noto Sans CJK SC"/>
        <color theme="1"/>
        <sz val="10.0"/>
      </rPr>
      <t xml:space="preserve">더프리미엄모의고사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자동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저장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성적표 </t>
    </r>
    <r>
      <rPr>
        <rFont val="Noto Sans"/>
        <color theme="1"/>
        <sz val="10.0"/>
      </rPr>
      <t xml:space="preserve">PDF→D.Lab </t>
    </r>
    <r>
      <rPr>
        <rFont val="Noto Sans CJK SC"/>
        <color theme="1"/>
        <sz val="10.0"/>
      </rPr>
      <t>사이트 업로드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가채점 설문 관리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상세 성적 엑셀 업로드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회차별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단원별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전국대비 정답률</t>
    </r>
    <r>
      <rPr>
        <rFont val="Noto Sans"/>
        <color theme="1"/>
        <sz val="10.0"/>
      </rPr>
      <t xml:space="preserve">) → </t>
    </r>
    <r>
      <rPr>
        <rFont val="Noto Sans CJK SC"/>
        <color theme="1"/>
        <sz val="10.0"/>
      </rPr>
      <t>상담 리포트 결합</t>
    </r>
  </si>
  <si>
    <t>구현 시 유의사항</t>
  </si>
  <si>
    <r>
      <rPr>
        <rFont val="Noto Sans"/>
        <color theme="1"/>
        <sz val="10.0"/>
      </rPr>
      <t>ScoreService.fetchAndSync(</t>
    </r>
    <r>
      <rPr>
        <rFont val="Noto Sans CJK SC"/>
        <color theme="1"/>
        <sz val="10.0"/>
      </rPr>
      <t>전화번호기반 조회</t>
    </r>
    <r>
      <rPr>
        <rFont val="Noto Sans"/>
        <color theme="1"/>
        <sz val="10.0"/>
      </rPr>
      <t>), uploadScorePdf(Storage</t>
    </r>
    <r>
      <rPr>
        <rFont val="Noto Sans CJK SC"/>
        <color theme="1"/>
        <sz val="10.0"/>
      </rPr>
      <t>업로드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대성 알림</t>
    </r>
    <r>
      <rPr>
        <rFont val="Noto Sans"/>
        <color theme="1"/>
        <sz val="10.0"/>
      </rPr>
      <t>), previewDetail(</t>
    </r>
    <r>
      <rPr>
        <rFont val="Noto Sans CJK SC"/>
        <color theme="1"/>
        <sz val="10.0"/>
      </rPr>
      <t>엑셀 미리보기</t>
    </r>
    <r>
      <rPr>
        <rFont val="Noto Sans"/>
        <color theme="1"/>
        <sz val="10.0"/>
      </rPr>
      <t xml:space="preserve">, ColumnMapping </t>
    </r>
    <r>
      <rPr>
        <rFont val="Noto Sans CJK SC"/>
        <color theme="1"/>
        <sz val="10.0"/>
      </rPr>
      <t>기반</t>
    </r>
    <r>
      <rPr>
        <rFont val="Noto Sans"/>
        <color theme="1"/>
        <sz val="10.0"/>
      </rPr>
      <t xml:space="preserve">)
▷[0723] </t>
    </r>
    <r>
      <rPr>
        <rFont val="Noto Sans CJK SC"/>
        <color theme="1"/>
        <sz val="10.0"/>
      </rPr>
      <t>전과목 등급 표시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등급 표기 방식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등급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백분위</t>
    </r>
    <r>
      <rPr>
        <rFont val="Noto Sans"/>
        <color theme="1"/>
        <sz val="10.0"/>
      </rPr>
      <t>%/</t>
    </r>
    <r>
      <rPr>
        <rFont val="Noto Sans CJK SC"/>
        <color theme="1"/>
        <sz val="10.0"/>
      </rPr>
      <t>평균 등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은 클라이언트 회신 대기</t>
    </r>
  </si>
  <si>
    <t>score_records, score_detail_uploads</t>
  </si>
  <si>
    <t>즉시반영형</t>
  </si>
  <si>
    <r>
      <rPr>
        <rFont val="Noto Sans CJK SC"/>
        <color theme="1"/>
        <sz val="10.0"/>
      </rPr>
      <t>학생 상벌점 점수부여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출결 개별수정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사용자 승인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탈퇴 등 대부분 관리 화면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</si>
  <si>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교무업무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모의고사 결시자 현황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은 결시자 체크 전용 화면으로 목적 자체가 다름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성적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저장 아님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조회 </t>
    </r>
    <r>
      <rPr>
        <rFont val="Noto Sans"/>
        <color theme="1"/>
        <sz val="10.0"/>
      </rPr>
      <t>UI</t>
    </r>
    <r>
      <rPr>
        <rFont val="Noto Sans CJK SC"/>
        <color theme="1"/>
        <sz val="10.0"/>
      </rPr>
      <t>만 참고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성적 자동조회</t>
    </r>
    <r>
      <rPr>
        <rFont val="Noto Sans"/>
        <color theme="1"/>
        <sz val="10.0"/>
      </rPr>
      <t>·PDF</t>
    </r>
    <r>
      <rPr>
        <rFont val="Noto Sans CJK SC"/>
        <color theme="1"/>
        <sz val="10.0"/>
      </rPr>
      <t>업로드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상세분석 전체가 신규</t>
    </r>
  </si>
  <si>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수정 버튼 클릭 즉시 </t>
    </r>
    <r>
      <rPr>
        <rFont val="Noto Sans"/>
        <color theme="1"/>
        <sz val="10.0"/>
      </rPr>
      <t xml:space="preserve">DB </t>
    </r>
    <r>
      <rPr>
        <rFont val="Noto Sans CJK SC"/>
        <color theme="1"/>
        <sz val="10.0"/>
      </rPr>
      <t>반영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임시저장 없음</t>
    </r>
  </si>
  <si>
    <r>
      <rPr>
        <rFont val="Noto Sans CJK SC"/>
        <color theme="1"/>
        <sz val="10.0"/>
      </rPr>
      <t>되돌리기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취소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기능 부재 시 오조작 리스크 — 확인 절차 필요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</si>
  <si>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실사에서 확인된 지배적 패턴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 버튼 즉시 반영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</si>
  <si>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임시저장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확정 </t>
    </r>
    <r>
      <rPr>
        <rFont val="Noto Sans"/>
        <color theme="1"/>
        <sz val="10.0"/>
      </rPr>
      <t>2</t>
    </r>
    <r>
      <rPr>
        <rFont val="Noto Sans CJK SC"/>
        <color theme="1"/>
        <sz val="10.0"/>
      </rPr>
      <t>단계형</t>
    </r>
  </si>
  <si>
    <r>
      <rPr>
        <rFont val="Noto Sans"/>
        <color theme="1"/>
        <sz val="10.0"/>
      </rPr>
      <t>F-4.6-</t>
    </r>
    <r>
      <rPr>
        <rFont val="Noto Sans CJK SC"/>
        <color theme="1"/>
        <sz val="10.0"/>
      </rPr>
      <t>부속</t>
    </r>
  </si>
  <si>
    <r>
      <rPr>
        <rFont val="Noto Sans CJK SC"/>
        <color theme="1"/>
        <sz val="10.0"/>
      </rPr>
      <t>급식 데스크 당일 신청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결제방식 미확정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상담 리포트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초안 작성 후 발송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</si>
  <si>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[D.Lab 4.6] </t>
    </r>
    <r>
      <rPr>
        <rFont val="Noto Sans CJK SC"/>
        <color theme="1"/>
        <sz val="10.0"/>
      </rPr>
      <t>성적 관리</t>
    </r>
  </si>
  <si>
    <r>
      <rPr>
        <rFont val="Noto Sans"/>
        <color theme="1"/>
        <sz val="10.0"/>
      </rPr>
      <t>[</t>
    </r>
    <r>
      <rPr>
        <rFont val="Noto Sans CJK SC"/>
        <color theme="1"/>
        <sz val="10.0"/>
      </rPr>
      <t>임시저장</t>
    </r>
    <r>
      <rPr>
        <rFont val="Noto Sans"/>
        <color theme="1"/>
        <sz val="10.0"/>
      </rPr>
      <t>]</t>
    </r>
    <r>
      <rPr>
        <rFont val="Noto Sans CJK SC"/>
        <color theme="1"/>
        <sz val="10.0"/>
      </rPr>
      <t xml:space="preserve">으로 초안 저장 후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확정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발송</t>
    </r>
    <r>
      <rPr>
        <rFont val="Noto Sans"/>
        <color theme="1"/>
        <sz val="10.0"/>
      </rPr>
      <t>]</t>
    </r>
    <r>
      <rPr>
        <rFont val="Noto Sans CJK SC"/>
        <color theme="1"/>
        <sz val="10.0"/>
      </rPr>
      <t>으로 최종 확정</t>
    </r>
  </si>
  <si>
    <r>
      <rPr>
        <rFont val="Noto Sans CJK SC"/>
        <color theme="1"/>
        <sz val="10.0"/>
      </rPr>
      <t>설문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가채점 설문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템플릿</t>
    </r>
    <r>
      <rPr>
        <rFont val="Noto Sans"/>
        <color theme="1"/>
        <sz val="10.0"/>
      </rPr>
      <t>)</t>
    </r>
  </si>
  <si>
    <t>임시저장 상태 데이터는 미반영 상태임을 화면에 명확히 구분 표시</t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</si>
  <si>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</si>
  <si>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엔 대응 화면이 없어 신규 설계 필요</t>
    </r>
    <r>
      <rPr>
        <rFont val="Noto Sans"/>
        <color theme="1"/>
        <sz val="10.0"/>
      </rPr>
      <t xml:space="preserve">(I-2, I-13 </t>
    </r>
    <r>
      <rPr>
        <rFont val="Noto Sans CJK SC"/>
        <color theme="1"/>
        <sz val="10.0"/>
      </rPr>
      <t>연계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</si>
  <si>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가채점 설문 생성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배포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수집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설문 템플릿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재사용</t>
    </r>
    <r>
      <rPr>
        <rFont val="Noto Sans"/>
        <color theme="1"/>
        <sz val="10.0"/>
      </rPr>
      <t>)</t>
    </r>
  </si>
  <si>
    <t>POST /api/v1/surveys(+publish), GET .../responses|results, survey-templates CRUD + instantiate</t>
  </si>
  <si>
    <t>surveys, survey_questions, survey_responses, survey_answers, survey_templates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</si>
  <si>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성적 관리</t>
    </r>
    <r>
      <rPr>
        <rFont val="Noto Sans"/>
        <color theme="1"/>
        <sz val="10.0"/>
      </rPr>
      <t>(F-4.6)</t>
    </r>
    <r>
      <rPr>
        <rFont val="Noto Sans CJK SC"/>
        <color theme="1"/>
        <sz val="10.0"/>
      </rPr>
      <t xml:space="preserve">의 하위 도메인으로 기획서 </t>
    </r>
    <r>
      <rPr>
        <rFont val="Noto Sans"/>
        <color theme="1"/>
        <sz val="10.0"/>
      </rPr>
      <t>4.6</t>
    </r>
    <r>
      <rPr>
        <rFont val="Noto Sans CJK SC"/>
        <color theme="1"/>
        <sz val="10.0"/>
      </rPr>
      <t>에 포함</t>
    </r>
  </si>
  <si>
    <r>
      <rPr>
        <rFont val="Noto Sans"/>
        <b/>
        <color rgb="FFFFFFFF"/>
        <sz val="12.0"/>
      </rPr>
      <t xml:space="preserve">⑤ DSA </t>
    </r>
    <r>
      <rPr>
        <rFont val="Noto Sans CJK SC"/>
        <b/>
        <color rgb="FFFFFFFF"/>
        <sz val="12.0"/>
      </rPr>
      <t xml:space="preserve">화면 실사 대조 — 요구사항 검증 여부 </t>
    </r>
    <r>
      <rPr>
        <rFont val="Noto Sans"/>
        <b/>
        <color rgb="FFFFFFFF"/>
        <sz val="12.0"/>
      </rPr>
      <t xml:space="preserve">(AS-IS </t>
    </r>
    <r>
      <rPr>
        <rFont val="Noto Sans CJK SC"/>
        <b/>
        <color rgb="FFFFFFFF"/>
        <sz val="12.0"/>
      </rPr>
      <t>코드 실측 대체</t>
    </r>
    <r>
      <rPr>
        <rFont val="Noto Sans"/>
        <b/>
        <color rgb="FFFFFFFF"/>
        <sz val="12.0"/>
      </rPr>
      <t>)</t>
    </r>
  </si>
  <si>
    <t>F-4.7</t>
  </si>
  <si>
    <r>
      <rPr>
        <rFont val="Noto Sans"/>
        <color theme="1"/>
        <sz val="10.0"/>
      </rPr>
      <t xml:space="preserve">[D.Lab 4.7] </t>
    </r>
    <r>
      <rPr>
        <rFont val="Noto Sans CJK SC"/>
        <color theme="1"/>
        <sz val="10.0"/>
      </rPr>
      <t>특강 관리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</si>
  <si>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</si>
  <si>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r>
      <rPr>
        <rFont val="Noto Sans CJK SC"/>
        <color theme="1"/>
        <sz val="10.0"/>
      </rPr>
      <t>특강 신청자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대기자 목록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관리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출석 현황 관리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설명회 신청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)</t>
    </r>
  </si>
  <si>
    <r>
      <rPr>
        <rFont val="Arial"/>
        <b/>
        <color rgb="FFFFFFFF"/>
        <sz val="10.0"/>
      </rPr>
      <t xml:space="preserve">TO-BE </t>
    </r>
    <r>
      <rPr>
        <rFont val="Noto Sans CJK SC"/>
        <b/>
        <color rgb="FFFFFFFF"/>
        <sz val="10.0"/>
      </rPr>
      <t>요소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기획서 기준</t>
    </r>
    <r>
      <rPr>
        <rFont val="Arial"/>
        <b/>
        <color rgb="FFFFFFFF"/>
        <sz val="10.0"/>
      </rPr>
      <t>)</t>
    </r>
  </si>
  <si>
    <r>
      <rPr>
        <rFont val="Arial"/>
        <b/>
        <color rgb="FFFFFFFF"/>
        <sz val="10.0"/>
      </rPr>
      <t xml:space="preserve">DSA </t>
    </r>
    <r>
      <rPr>
        <rFont val="Noto Sans CJK SC"/>
        <b/>
        <color rgb="FFFFFFFF"/>
        <sz val="10.0"/>
      </rPr>
      <t>실사 결과</t>
    </r>
  </si>
  <si>
    <r>
      <rPr>
        <rFont val="Noto Sans CJK SC"/>
        <color theme="1"/>
        <sz val="10.0"/>
      </rPr>
      <t xml:space="preserve">기술문서 내 별도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명세 없음 — 공통 모듈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동적 검색 빌더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엑셀 </t>
    </r>
    <r>
      <rPr>
        <rFont val="Noto Sans"/>
        <color theme="1"/>
        <sz val="10.0"/>
      </rPr>
      <t xml:space="preserve">Import/Export) </t>
    </r>
    <r>
      <rPr>
        <rFont val="Noto Sans CJK SC"/>
        <color theme="1"/>
        <sz val="10.0"/>
      </rPr>
      <t>활용 예상</t>
    </r>
  </si>
  <si>
    <t>판정</t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</si>
  <si>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특강관리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접수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신청명단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조건검색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월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과정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학과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진행상태 결과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일괄이동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수정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신청명단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출석부 요구사항은 검증됨</t>
    </r>
    <r>
      <rPr>
        <rFont val="Noto Sans"/>
        <color theme="1"/>
        <sz val="10.0"/>
      </rPr>
      <t>. '</t>
    </r>
    <r>
      <rPr>
        <rFont val="Noto Sans CJK SC"/>
        <color theme="1"/>
        <sz val="10.0"/>
      </rPr>
      <t>설명회 신청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항목만 화면에 없어 보완 개발 필요</t>
    </r>
  </si>
  <si>
    <r>
      <rPr>
        <rFont val="Noto Sans CJK SC"/>
        <color theme="1"/>
        <sz val="10.0"/>
      </rPr>
      <t>통합검색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정렬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조건저장</t>
    </r>
    <r>
      <rPr>
        <rFont val="Noto Sans"/>
        <color theme="1"/>
        <sz val="10.0"/>
      </rPr>
      <t>(4.1)</t>
    </r>
  </si>
  <si>
    <r>
      <rPr>
        <rFont val="Noto Sans CJK SC"/>
        <color theme="1"/>
        <sz val="10.0"/>
      </rPr>
      <t xml:space="preserve">검색 필터 </t>
    </r>
    <r>
      <rPr>
        <rFont val="Noto Sans"/>
        <color theme="1"/>
        <sz val="10.0"/>
      </rPr>
      <t>12</t>
    </r>
    <r>
      <rPr>
        <rFont val="Noto Sans CJK SC"/>
        <color theme="1"/>
        <sz val="10.0"/>
      </rPr>
      <t>개 조건 확인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정렬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조건저장은 화면에서 미확인</t>
    </r>
  </si>
  <si>
    <t>부분검증</t>
  </si>
  <si>
    <t>DSA F-4.1-1</t>
  </si>
  <si>
    <r>
      <rPr>
        <rFont val="Noto Sans CJK SC"/>
        <color theme="1"/>
        <sz val="10.0"/>
      </rPr>
      <t>코드 없음 — 신규 구현</t>
    </r>
    <r>
      <rPr>
        <rFont val="Noto Sans"/>
        <color theme="1"/>
        <sz val="10.0"/>
      </rPr>
      <t>, UX</t>
    </r>
    <r>
      <rPr>
        <rFont val="Noto Sans CJK SC"/>
        <color theme="1"/>
        <sz val="10.0"/>
      </rPr>
      <t>만 참고</t>
    </r>
  </si>
  <si>
    <t>F-4.8</t>
  </si>
  <si>
    <r>
      <rPr>
        <rFont val="Noto Sans"/>
        <color theme="1"/>
        <sz val="10.0"/>
      </rPr>
      <t xml:space="preserve">[D.Lab 4.8] </t>
    </r>
    <r>
      <rPr>
        <rFont val="Noto Sans CJK SC"/>
        <color theme="1"/>
        <sz val="10.0"/>
      </rPr>
      <t>수납 관리</t>
    </r>
  </si>
  <si>
    <t>상벌점 규칙엔진 자동부여</t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</si>
  <si>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</si>
  <si>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는 수기 점수부여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선택 일괄 점수부여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화면만 존재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자동룰 없음</t>
    </r>
  </si>
  <si>
    <r>
      <rPr>
        <rFont val="Noto Sans CJK SC"/>
        <color theme="1"/>
        <sz val="10.0"/>
      </rPr>
      <t>미검증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</si>
  <si>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가상계좌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등록비 통합 매출 조회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기간별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지점별 수납 통계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미납자 목록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카카오 알림톡 자동 발송</t>
    </r>
  </si>
  <si>
    <t>DSA F-4.1-2</t>
  </si>
  <si>
    <r>
      <rPr>
        <rFont val="Noto Sans"/>
        <color theme="1"/>
        <sz val="10.0"/>
      </rPr>
      <t xml:space="preserve">I-5 </t>
    </r>
    <r>
      <rPr>
        <rFont val="Noto Sans CJK SC"/>
        <color theme="1"/>
        <sz val="10.0"/>
      </rPr>
      <t>매핑 규칙 확정 후 엔진 설계</t>
    </r>
  </si>
  <si>
    <r>
      <rPr>
        <rFont val="Noto Sans"/>
        <color theme="1"/>
        <sz val="10.0"/>
      </rPr>
      <t xml:space="preserve">RBAC: SUPER/BRANCH </t>
    </r>
    <r>
      <rPr>
        <rFont val="Noto Sans CJK SC"/>
        <color theme="1"/>
        <sz val="10.0"/>
      </rPr>
      <t>전체</t>
    </r>
    <r>
      <rPr>
        <rFont val="Noto Sans"/>
        <color theme="1"/>
        <sz val="10.0"/>
      </rPr>
      <t xml:space="preserve">, STAFF </t>
    </r>
    <r>
      <rPr>
        <rFont val="Noto Sans CJK SC"/>
        <color theme="1"/>
        <sz val="10.0"/>
      </rPr>
      <t>조회만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연동으로 조회 전제</t>
    </r>
    <r>
      <rPr>
        <rFont val="Noto Sans"/>
        <color theme="1"/>
        <sz val="10.0"/>
      </rPr>
      <t xml:space="preserve">(v1.1) — v1.2 </t>
    </r>
    <r>
      <rPr>
        <rFont val="Noto Sans CJK SC"/>
        <color theme="1"/>
        <sz val="10.0"/>
      </rPr>
      <t>분리본엔 문구 누락</t>
    </r>
  </si>
  <si>
    <t>payment_transactions</t>
  </si>
  <si>
    <t>대기자→원생 전환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</si>
  <si>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엔 대상이 다른 특강대기자 화면만 존재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</si>
  <si>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수납현황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통합 매출장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기간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정구기준 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매출목록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결제일자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과정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가상계좌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 xml:space="preserve">엑셀다운로드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수납 프로그램 자체 개발주체가 대성전산</t>
    </r>
    <r>
      <rPr>
        <rFont val="Noto Sans"/>
        <color theme="1"/>
        <sz val="10.0"/>
      </rPr>
      <t xml:space="preserve">(API </t>
    </r>
    <r>
      <rPr>
        <rFont val="Noto Sans CJK SC"/>
        <color theme="1"/>
        <sz val="10.0"/>
      </rPr>
      <t>조회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으로 추정되어 코드</t>
    </r>
    <r>
      <rPr>
        <rFont val="Noto Sans"/>
        <color theme="1"/>
        <sz val="10.0"/>
      </rPr>
      <t xml:space="preserve">/DB </t>
    </r>
    <r>
      <rPr>
        <rFont val="Noto Sans CJK SC"/>
        <color theme="1"/>
        <sz val="10.0"/>
      </rPr>
      <t xml:space="preserve">실측 불가 —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스펙 확정 전까지 연동방식 미확정</t>
    </r>
  </si>
  <si>
    <r>
      <rPr>
        <rFont val="Noto Sans CJK SC"/>
        <color theme="1"/>
        <sz val="10.0"/>
      </rPr>
      <t>미검증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)</t>
    </r>
  </si>
  <si>
    <t>DSA F-4.2</t>
  </si>
  <si>
    <t>완전 신규</t>
  </si>
  <si>
    <t>F-4.9</t>
  </si>
  <si>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가상계좌 분기 결제</t>
    </r>
  </si>
  <si>
    <r>
      <rPr>
        <rFont val="Noto Sans"/>
        <color theme="1"/>
        <sz val="10.0"/>
      </rPr>
      <t xml:space="preserve">[D.Lab 4.9] </t>
    </r>
    <r>
      <rPr>
        <rFont val="Noto Sans CJK SC"/>
        <color theme="1"/>
        <sz val="10.0"/>
      </rPr>
      <t>교무업무</t>
    </r>
  </si>
  <si>
    <r>
      <rPr>
        <rFont val="Noto Sans"/>
        <color theme="1"/>
        <sz val="10.0"/>
      </rPr>
      <t>DSA/</t>
    </r>
    <r>
      <rPr>
        <rFont val="Noto Sans CJK SC"/>
        <color theme="1"/>
        <sz val="10.0"/>
      </rPr>
      <t>디멤버엔 결제분기 없음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디멤버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종이 신청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</si>
  <si>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교무업무 — 명단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출력</t>
    </r>
  </si>
  <si>
    <r>
      <rPr>
        <rFont val="Noto Sans CJK SC"/>
        <color theme="1"/>
        <sz val="10.0"/>
      </rPr>
      <t>미검증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</si>
  <si>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요구사항보완</t>
    </r>
  </si>
  <si>
    <t>DSA F-4.5</t>
  </si>
  <si>
    <r>
      <rPr>
        <rFont val="Noto Sans"/>
        <color theme="1"/>
        <sz val="10.0"/>
      </rPr>
      <t xml:space="preserve">E-3 </t>
    </r>
    <r>
      <rPr>
        <rFont val="Noto Sans CJK SC"/>
        <color theme="1"/>
        <sz val="10.0"/>
      </rPr>
      <t xml:space="preserve">급식업체 </t>
    </r>
    <r>
      <rPr>
        <rFont val="Noto Sans"/>
        <color theme="1"/>
        <sz val="10.0"/>
      </rPr>
      <t xml:space="preserve">PG </t>
    </r>
    <r>
      <rPr>
        <rFont val="Noto Sans CJK SC"/>
        <color theme="1"/>
        <sz val="10.0"/>
      </rPr>
      <t>연동정보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가맹점정보</t>
    </r>
    <r>
      <rPr>
        <rFont val="Noto Sans"/>
        <color theme="1"/>
        <sz val="10.0"/>
      </rPr>
      <t>·API</t>
    </r>
    <r>
      <rPr>
        <rFont val="Noto Sans CJK SC"/>
        <color theme="1"/>
        <sz val="10.0"/>
      </rPr>
      <t>스펙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확보 필요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신규 선정 아님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</si>
  <si>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수강생 대장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청구기수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반 필터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엑셀 다운로드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직반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장학생 명단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구분 항목 정리</t>
    </r>
  </si>
  <si>
    <t>수납 대성전산 연동</t>
  </si>
  <si>
    <r>
      <rPr>
        <rFont val="Noto Sans CJK SC"/>
        <color theme="1"/>
        <sz val="10.0"/>
      </rPr>
      <t xml:space="preserve">엑셀 </t>
    </r>
    <r>
      <rPr>
        <rFont val="Noto Sans"/>
        <color theme="1"/>
        <sz val="10.0"/>
      </rPr>
      <t xml:space="preserve">Import/Export </t>
    </r>
    <r>
      <rPr>
        <rFont val="Noto Sans CJK SC"/>
        <color theme="1"/>
        <sz val="10.0"/>
      </rPr>
      <t>프레임워크 활용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별도 전용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명세 없음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</si>
  <si>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 xml:space="preserve">화면상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조회로 추정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 xml:space="preserve">문구 확인되나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스펙 자체는 미확인</t>
    </r>
  </si>
  <si>
    <t>DSA F-4.8</t>
  </si>
  <si>
    <r>
      <rPr>
        <rFont val="Noto Sans"/>
        <color theme="1"/>
        <sz val="10.0"/>
      </rPr>
      <t xml:space="preserve">D-3 </t>
    </r>
    <r>
      <rPr>
        <rFont val="Noto Sans CJK SC"/>
        <color theme="1"/>
        <sz val="10.0"/>
      </rPr>
      <t>확정 필요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</si>
  <si>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교무업무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명단조회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출력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수강생대장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조건검색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테이블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성명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과정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주소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전화번호</t>
    </r>
    <r>
      <rPr>
        <rFont val="Noto Sans"/>
        <color theme="1"/>
        <sz val="10.0"/>
      </rPr>
      <t xml:space="preserve">)·Copy/Excel/Print 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>. '</t>
    </r>
    <r>
      <rPr>
        <rFont val="Noto Sans CJK SC"/>
        <color theme="1"/>
        <sz val="10.0"/>
      </rPr>
      <t>구분 항목 불명확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 xml:space="preserve">으로 화면 자체에 </t>
    </r>
    <r>
      <rPr>
        <rFont val="Noto Sans"/>
        <color theme="1"/>
        <sz val="10.0"/>
      </rPr>
      <t xml:space="preserve">(!!) </t>
    </r>
    <r>
      <rPr>
        <rFont val="Noto Sans CJK SC"/>
        <color theme="1"/>
        <sz val="10.0"/>
      </rPr>
      <t>표기되어 있어 운영팀 재정의 필요</t>
    </r>
  </si>
  <si>
    <r>
      <rPr>
        <rFont val="Noto Sans"/>
        <color theme="1"/>
        <sz val="10.0"/>
      </rPr>
      <t xml:space="preserve">RBAC </t>
    </r>
    <r>
      <rPr>
        <rFont val="Noto Sans CJK SC"/>
        <color theme="1"/>
        <sz val="10.0"/>
      </rPr>
      <t>지점별 접근제어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</si>
  <si>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사용자관리 화면에서 지점 선택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필터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확인됨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 중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</si>
  <si>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검증됨</t>
    </r>
    <r>
      <rPr>
        <rFont val="Noto Sans"/>
        <color theme="1"/>
        <sz val="10.0"/>
      </rPr>
      <t>(UX)</t>
    </r>
  </si>
  <si>
    <t>DSA F-4.10-2</t>
  </si>
  <si>
    <r>
      <rPr>
        <rFont val="Noto Sans CJK SC"/>
        <color theme="1"/>
        <sz val="10.0"/>
      </rPr>
      <t>코드 재사용 불가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권한모델은 신규 설계</t>
    </r>
    <r>
      <rPr>
        <rFont val="Noto Sans"/>
        <color theme="1"/>
        <sz val="10.0"/>
      </rPr>
      <t>(RBAC 5</t>
    </r>
    <r>
      <rPr>
        <rFont val="Noto Sans CJK SC"/>
        <color theme="1"/>
        <sz val="10.0"/>
      </rPr>
      <t>단계</t>
    </r>
    <r>
      <rPr>
        <rFont val="Noto Sans"/>
        <color theme="1"/>
        <sz val="10.0"/>
      </rPr>
      <t>)</t>
    </r>
  </si>
  <si>
    <t>F-4.10-1</t>
  </si>
  <si>
    <r>
      <rPr>
        <rFont val="Noto Sans"/>
        <color theme="1"/>
        <sz val="10.0"/>
      </rPr>
      <t xml:space="preserve">[D.Lab 4.10]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</si>
  <si>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기초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전형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강의실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사물함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장학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</si>
  <si>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</si>
  <si>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>전년도 복사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기초관리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</si>
  <si>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요구사항문서에 언급되나 실제 동작은 화면 미진입으로 미확인</t>
    </r>
  </si>
  <si>
    <r>
      <rPr>
        <rFont val="Noto Sans CJK SC"/>
        <color theme="1"/>
        <sz val="10.0"/>
      </rPr>
      <t>학과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전형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강의실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사물함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장학관리 등 기초 데이터 관리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전년도 복사</t>
    </r>
  </si>
  <si>
    <t>DSA F-4.10-1</t>
  </si>
  <si>
    <r>
      <rPr>
        <rFont val="Noto Sans"/>
        <color theme="1"/>
        <sz val="10.0"/>
      </rPr>
      <t xml:space="preserve">YearlySnapshotService </t>
    </r>
    <r>
      <rPr>
        <rFont val="Noto Sans CJK SC"/>
        <color theme="1"/>
        <sz val="10.0"/>
      </rPr>
      <t>신규 구현 예정</t>
    </r>
  </si>
  <si>
    <r>
      <rPr>
        <rFont val="Noto Sans"/>
        <color theme="1"/>
        <sz val="10.0"/>
      </rPr>
      <t xml:space="preserve">YearlySnapshotService </t>
    </r>
    <r>
      <rPr>
        <rFont val="Noto Sans CJK SC"/>
        <color theme="1"/>
        <sz val="10.0"/>
      </rPr>
      <t>기반 전년도 복사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공통 컬럼 규칙 적용</t>
    </r>
  </si>
  <si>
    <t>departments, course_types, class_groups, curriculums</t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</si>
  <si>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기초관리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과정 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과정목록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과정명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학과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등록일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삭제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</si>
  <si>
    <t>⑥ 리스크 트리거 — 소스코드 부재로 인한 프로젝트 특성</t>
  </si>
  <si>
    <t>F-4.10-2</t>
  </si>
  <si>
    <r>
      <rPr>
        <rFont val="Noto Sans"/>
        <color theme="1"/>
        <sz val="10.0"/>
      </rPr>
      <t xml:space="preserve">[D.Lab 4.10] </t>
    </r>
    <r>
      <rPr>
        <rFont val="Noto Sans CJK SC"/>
        <color theme="1"/>
        <sz val="10.0"/>
      </rPr>
      <t>관리자 기능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</si>
  <si>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</si>
  <si>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>직원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강사 계정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권한 관리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지점별 접근 제어</t>
    </r>
  </si>
  <si>
    <t>트리거 조건</t>
  </si>
  <si>
    <r>
      <rPr>
        <rFont val="Noto Sans"/>
        <color theme="1"/>
        <sz val="10.0"/>
      </rPr>
      <t>RBAC: SUPER_ADMIN/BRANCH_ADMIN/TEACHER/STAFF/READONLY 5</t>
    </r>
    <r>
      <rPr>
        <rFont val="Noto Sans CJK SC"/>
        <color theme="1"/>
        <sz val="10.0"/>
      </rPr>
      <t xml:space="preserve">단계 </t>
    </r>
    <r>
      <rPr>
        <rFont val="Noto Sans"/>
        <color theme="1"/>
        <sz val="10.0"/>
      </rPr>
      <t>Role. Supabase Auth+JWT</t>
    </r>
  </si>
  <si>
    <t>users, roles, branch_configs</t>
  </si>
  <si>
    <r>
      <rPr>
        <rFont val="Noto Sans CJK SC"/>
        <b/>
        <color rgb="FFFFFFFF"/>
        <sz val="10.0"/>
      </rPr>
      <t xml:space="preserve">결과 </t>
    </r>
    <r>
      <rPr>
        <rFont val="Noto Sans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영향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</si>
  <si>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사용자 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사용자관리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지점선택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사용자목록</t>
    </r>
    <r>
      <rPr>
        <rFont val="Noto Sans"/>
        <color theme="1"/>
        <sz val="10.0"/>
      </rPr>
      <t>(ID/</t>
    </r>
    <r>
      <rPr>
        <rFont val="Noto Sans CJK SC"/>
        <color theme="1"/>
        <sz val="10.0"/>
      </rPr>
      <t>구분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상태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권한수정시간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상세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승인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탈퇴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삭제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지점별 접근제어 이미 운영 중인 것으로 관찰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단 </t>
    </r>
    <r>
      <rPr>
        <rFont val="Noto Sans"/>
        <color theme="1"/>
        <sz val="10.0"/>
      </rPr>
      <t>RBAC 5</t>
    </r>
    <r>
      <rPr>
        <rFont val="Noto Sans CJK SC"/>
        <color theme="1"/>
        <sz val="10.0"/>
      </rPr>
      <t>단계 세부모델은 코드가 없어 전량 신규 설계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</si>
  <si>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소스코드</t>
    </r>
    <r>
      <rPr>
        <rFont val="Noto Sans"/>
        <color theme="1"/>
        <sz val="10.0"/>
      </rPr>
      <t xml:space="preserve">/DB </t>
    </r>
    <r>
      <rPr>
        <rFont val="Noto Sans CJK SC"/>
        <color theme="1"/>
        <sz val="10.0"/>
      </rPr>
      <t>접근 가능 여부</t>
    </r>
  </si>
  <si>
    <t>❌ 접근 불가 확정</t>
  </si>
  <si>
    <r>
      <rPr>
        <rFont val="Noto Sans CJK SC"/>
        <color theme="1"/>
        <sz val="10.0"/>
      </rPr>
      <t>코드 이관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이식이 원천적으로 불가능 — 전 기능 신규 개발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설계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구현 모두 처음부터</t>
    </r>
    <r>
      <rPr>
        <rFont val="Noto Sans"/>
        <color theme="1"/>
        <sz val="10.0"/>
      </rPr>
      <t>), DSA</t>
    </r>
    <r>
      <rPr>
        <rFont val="Noto Sans CJK SC"/>
        <color theme="1"/>
        <sz val="10.0"/>
      </rPr>
      <t xml:space="preserve">는 </t>
    </r>
    <r>
      <rPr>
        <rFont val="Noto Sans"/>
        <color theme="1"/>
        <sz val="10.0"/>
      </rPr>
      <t>UX/</t>
    </r>
    <r>
      <rPr>
        <rFont val="Noto Sans CJK SC"/>
        <color theme="1"/>
        <sz val="10.0"/>
      </rPr>
      <t>요구사항 참고자료로만 활용</t>
    </r>
  </si>
  <si>
    <t>F-4.10-3</t>
  </si>
  <si>
    <r>
      <rPr>
        <rFont val="Noto Sans CJK SC"/>
        <color theme="1"/>
        <sz val="10.0"/>
      </rPr>
      <t>사용자 확인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본 대화 내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</si>
  <si>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[D.Lab 4.10]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</si>
  <si>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배정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기숙사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사물함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독서실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</si>
  <si>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</si>
  <si>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 xml:space="preserve">기획서 </t>
    </r>
    <r>
      <rPr>
        <rFont val="Noto Sans"/>
        <color theme="1"/>
        <sz val="10.0"/>
      </rPr>
      <t xml:space="preserve">4.10 </t>
    </r>
    <r>
      <rPr>
        <rFont val="Noto Sans CJK SC"/>
        <color theme="1"/>
        <sz val="10.0"/>
      </rPr>
      <t>배정관리 영역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기숙사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사물함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독서실 배정</t>
    </r>
    <r>
      <rPr>
        <rFont val="Noto Sans"/>
        <color theme="1"/>
        <sz val="10.0"/>
      </rPr>
      <t>)</t>
    </r>
  </si>
  <si>
    <t>데이터 이관 방식</t>
  </si>
  <si>
    <r>
      <rPr>
        <rFont val="Noto Sans CJK SC"/>
        <color theme="1"/>
        <sz val="10.0"/>
      </rPr>
      <t xml:space="preserve">기술문서 내 별도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명세 없음 — 기초관리 하위 구조 재사용 예상</t>
    </r>
  </si>
  <si>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경유만 가능</t>
    </r>
    <r>
      <rPr>
        <rFont val="Noto Sans"/>
        <color theme="1"/>
        <sz val="10.0"/>
      </rPr>
      <t>(D-1)</t>
    </r>
  </si>
  <si>
    <r>
      <rPr>
        <rFont val="Noto Sans CJK SC"/>
        <color theme="1"/>
        <sz val="10.0"/>
      </rPr>
      <t xml:space="preserve">소스 </t>
    </r>
    <r>
      <rPr>
        <rFont val="Noto Sans"/>
        <color theme="1"/>
        <sz val="10.0"/>
      </rPr>
      <t xml:space="preserve">DB </t>
    </r>
    <r>
      <rPr>
        <rFont val="Noto Sans CJK SC"/>
        <color theme="1"/>
        <sz val="10.0"/>
      </rPr>
      <t xml:space="preserve">직접 접근 불가 → 이관 로직도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기반 신규 구현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양방향 동기화 어댑터 필요</t>
    </r>
  </si>
  <si>
    <r>
      <rPr>
        <rFont val="Noto Sans CJK SC"/>
        <color theme="1"/>
        <sz val="10.0"/>
      </rPr>
      <t xml:space="preserve">기획정리 </t>
    </r>
    <r>
      <rPr>
        <rFont val="Noto Sans"/>
        <color theme="1"/>
        <sz val="10.0"/>
      </rPr>
      <t>D-1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</si>
  <si>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관리자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배정관리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기숙사 배정 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학생목록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필터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일괄배정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해제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기숙사목록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사물함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독서실도 동일 구조로 존재한다고 실사 확인됨</t>
    </r>
  </si>
  <si>
    <r>
      <rPr>
        <rFont val="Noto Sans CJK SC"/>
        <color theme="1"/>
        <sz val="10.0"/>
      </rPr>
      <t xml:space="preserve">화면 실사만으로 검증 가능한 항목 </t>
    </r>
    <r>
      <rPr>
        <rFont val="Noto Sans"/>
        <color theme="1"/>
        <sz val="10.0"/>
      </rPr>
      <t xml:space="preserve">vs </t>
    </r>
    <r>
      <rPr>
        <rFont val="Noto Sans CJK SC"/>
        <color theme="1"/>
        <sz val="10.0"/>
      </rPr>
      <t>불가능한 항목</t>
    </r>
  </si>
  <si>
    <r>
      <rPr>
        <rFont val="Noto Sans"/>
        <color theme="1"/>
        <sz val="10.0"/>
      </rPr>
      <t>UI(</t>
    </r>
    <r>
      <rPr>
        <rFont val="Noto Sans CJK SC"/>
        <color theme="1"/>
        <sz val="10.0"/>
      </rPr>
      <t>필드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버튼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흐름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는 검증 가능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내부 계산로직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제약조건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성능은 검증 불가</t>
    </r>
  </si>
  <si>
    <r>
      <rPr>
        <rFont val="Noto Sans CJK SC"/>
        <color theme="1"/>
        <sz val="10.0"/>
      </rPr>
      <t>상세 비즈니스 로직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상벌점 자동룰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순공시간 산출 등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은 전량 신규 정의 필요</t>
    </r>
  </si>
  <si>
    <t>F-4.10-4</t>
  </si>
  <si>
    <r>
      <rPr>
        <rFont val="Noto Sans"/>
        <color theme="1"/>
        <sz val="10.0"/>
      </rPr>
      <t>1</t>
    </r>
    <r>
      <rPr>
        <rFont val="Noto Sans CJK SC"/>
        <color theme="1"/>
        <sz val="10.0"/>
      </rPr>
      <t xml:space="preserve">시트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구분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컬럼 참고</t>
    </r>
  </si>
  <si>
    <r>
      <rPr>
        <rFont val="Noto Sans"/>
        <color theme="1"/>
        <sz val="10.0"/>
      </rPr>
      <t xml:space="preserve">[D.Lab 4.10]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</si>
  <si>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특강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특강 기초 설정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</si>
  <si>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</si>
  <si>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>특강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설명회 기초 설정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설명회 신청 항목 추가</t>
    </r>
  </si>
  <si>
    <r>
      <rPr>
        <rFont val="Noto Sans CJK SC"/>
        <color theme="1"/>
        <sz val="10.0"/>
      </rPr>
      <t xml:space="preserve">기술문서 내 별도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명세 없음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</si>
  <si>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관리자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특강관리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특강 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상태별 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특강목록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월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상태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특강명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정원 등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등록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배정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삭제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설명회 신청 항목은 별도 추가 개발 필요할 수 있어 확인 필요</t>
    </r>
  </si>
  <si>
    <t>F-4.10-5</t>
  </si>
  <si>
    <r>
      <rPr>
        <rFont val="Noto Sans"/>
        <color theme="1"/>
        <sz val="10.0"/>
      </rPr>
      <t xml:space="preserve">[D.Lab 4.10]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</si>
  <si>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수납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청구기준 관리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</si>
  <si>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</si>
  <si>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>교습비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특강비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환불 기준 관리</t>
    </r>
    <r>
      <rPr>
        <rFont val="Noto Sans"/>
        <color theme="1"/>
        <sz val="10.0"/>
      </rPr>
      <t xml:space="preserve">, 4.8 </t>
    </r>
    <r>
      <rPr>
        <rFont val="Noto Sans CJK SC"/>
        <color theme="1"/>
        <sz val="10.0"/>
      </rPr>
      <t>수납현황과 연계</t>
    </r>
  </si>
  <si>
    <r>
      <rPr>
        <rFont val="Noto Sans"/>
        <color theme="1"/>
        <sz val="10.0"/>
      </rPr>
      <t>PG</t>
    </r>
    <r>
      <rPr>
        <rFont val="Noto Sans CJK SC"/>
        <color theme="1"/>
        <sz val="10.0"/>
      </rPr>
      <t>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가상계좌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 xml:space="preserve">연동 설정 — 급식 </t>
    </r>
    <r>
      <rPr>
        <rFont val="Noto Sans"/>
        <color theme="1"/>
        <sz val="10.0"/>
      </rPr>
      <t>PG</t>
    </r>
    <r>
      <rPr>
        <rFont val="Noto Sans CJK SC"/>
        <color theme="1"/>
        <sz val="10.0"/>
      </rPr>
      <t>와 별개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등록비는 </t>
    </r>
    <r>
      <rPr>
        <rFont val="Noto Sans"/>
        <color theme="1"/>
        <sz val="10.0"/>
      </rPr>
      <t xml:space="preserve">TuitionPgClient </t>
    </r>
    <r>
      <rPr>
        <rFont val="Noto Sans CJK SC"/>
        <color theme="1"/>
        <sz val="10.0"/>
      </rPr>
      <t>전제</t>
    </r>
    <r>
      <rPr>
        <rFont val="Noto Sans"/>
        <color theme="1"/>
        <sz val="10.0"/>
      </rPr>
      <t xml:space="preserve">(D-9 </t>
    </r>
    <r>
      <rPr>
        <rFont val="Noto Sans CJK SC"/>
        <color theme="1"/>
        <sz val="10.0"/>
      </rPr>
      <t>확정 필요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</si>
  <si>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관리자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수납관리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청구기준 관리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에서 상태필터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청구기준목록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가상계좌</t>
    </r>
    <r>
      <rPr>
        <rFont val="Noto Sans"/>
        <color theme="1"/>
        <sz val="10.0"/>
      </rPr>
      <t>/PG·VAN)·</t>
    </r>
    <r>
      <rPr>
        <rFont val="Noto Sans CJK SC"/>
        <color theme="1"/>
        <sz val="10.0"/>
      </rPr>
      <t>수납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메시지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수정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삭제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수납 프로그램 자체는 대성전산 개발주체로 실제 수정권한 범위 별도 확인 필요</t>
    </r>
  </si>
  <si>
    <t>F-4.10-6</t>
  </si>
  <si>
    <r>
      <rPr>
        <rFont val="Noto Sans"/>
        <color theme="1"/>
        <sz val="10.0"/>
      </rPr>
      <t xml:space="preserve">[D.Lab 4.10] </t>
    </r>
    <r>
      <rPr>
        <rFont val="Noto Sans CJK SC"/>
        <color theme="1"/>
        <sz val="10.0"/>
      </rPr>
      <t>관리자 기능</t>
    </r>
  </si>
  <si>
    <r>
      <rPr>
        <rFont val="Noto Sans CJK SC"/>
        <color theme="1"/>
        <sz val="10.0"/>
      </rPr>
      <t>실적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실적 입력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</si>
  <si>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요구사항검증됨</t>
    </r>
  </si>
  <si>
    <r>
      <rPr>
        <rFont val="Noto Sans CJK SC"/>
        <color theme="1"/>
        <sz val="10.0"/>
      </rPr>
      <t>합격 실적 입력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현황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통계</t>
    </r>
  </si>
  <si>
    <r>
      <rPr>
        <rFont val="Noto Sans CJK SC"/>
        <color theme="1"/>
        <sz val="10.0"/>
      </rPr>
      <t xml:space="preserve">기술문서 내 별도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명세 없음
▷</t>
    </r>
    <r>
      <rPr>
        <rFont val="Noto Sans"/>
        <color theme="1"/>
        <sz val="10.0"/>
      </rPr>
      <t xml:space="preserve">[0723] </t>
    </r>
    <r>
      <rPr>
        <rFont val="Noto Sans CJK SC"/>
        <color theme="1"/>
        <sz val="10.0"/>
      </rPr>
      <t>목표 계열 명칭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순서 표준화</t>
    </r>
    <r>
      <rPr>
        <rFont val="Noto Sans"/>
        <color theme="1"/>
        <sz val="10.0"/>
      </rPr>
      <t>: ①</t>
    </r>
    <r>
      <rPr>
        <rFont val="Noto Sans CJK SC"/>
        <color theme="1"/>
        <sz val="10.0"/>
      </rPr>
      <t xml:space="preserve">메디컬 ②서울 최상위 ③서울 지거국 ④수도권 ⑤지방 </t>
    </r>
    <r>
      <rPr>
        <rFont val="Noto Sans"/>
        <color theme="1"/>
        <sz val="10.0"/>
      </rPr>
      <t>4</t>
    </r>
    <r>
      <rPr>
        <rFont val="Noto Sans CJK SC"/>
        <color theme="1"/>
        <sz val="10.0"/>
      </rPr>
      <t>년제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마스터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</si>
  <si>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>DSA '</t>
    </r>
    <r>
      <rPr>
        <rFont val="Noto Sans CJK SC"/>
        <color theme="1"/>
        <sz val="10.0"/>
      </rPr>
      <t>실적</t>
    </r>
    <r>
      <rPr>
        <rFont val="Noto Sans"/>
        <color theme="1"/>
        <sz val="10.0"/>
      </rPr>
      <t>&gt;</t>
    </r>
    <r>
      <rPr>
        <rFont val="Noto Sans CJK SC"/>
        <color theme="1"/>
        <sz val="10.0"/>
      </rPr>
      <t>실적 입력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부산기숙</t>
    </r>
    <r>
      <rPr>
        <rFont val="Noto Sans"/>
        <color theme="1"/>
        <sz val="10.0"/>
      </rPr>
      <t>)'</t>
    </r>
    <r>
      <rPr>
        <rFont val="Noto Sans CJK SC"/>
        <color theme="1"/>
        <sz val="10.0"/>
      </rPr>
      <t>에서 연도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시험선택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실적목록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계열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학번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학교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의치한수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 xml:space="preserve">수정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확인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실적 통계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집계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화면은 별도 확인 필요</t>
    </r>
  </si>
  <si>
    <t>#42(I-22)</t>
  </si>
  <si>
    <t>F-4.11-1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</si>
  <si>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</si>
  <si>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t>데일리 루틴 관리</t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</si>
  <si>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</si>
  <si>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월별 루틴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테스트 세팅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과목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배점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권장 여부</t>
    </r>
    <r>
      <rPr>
        <rFont val="Noto Sans"/>
        <color theme="1"/>
        <sz val="10.0"/>
      </rPr>
      <t>)+</t>
    </r>
    <r>
      <rPr>
        <rFont val="Noto Sans CJK SC"/>
        <color theme="1"/>
        <sz val="10.0"/>
      </rPr>
      <t>전월 복사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학생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반별 결과 입력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완료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미완료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점수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상벌점 규칙 매핑 연동</t>
    </r>
  </si>
  <si>
    <r>
      <rPr>
        <rFont val="Noto Sans"/>
        <color theme="1"/>
        <sz val="10.0"/>
      </rPr>
      <t xml:space="preserve">GET/POST /api/v1/routines, copy-from-month, .../{id}/results — </t>
    </r>
    <r>
      <rPr>
        <rFont val="Noto Sans CJK SC"/>
        <color theme="1"/>
        <sz val="10.0"/>
      </rPr>
      <t xml:space="preserve">결과 입력 시 </t>
    </r>
    <r>
      <rPr>
        <rFont val="Noto Sans"/>
        <color theme="1"/>
        <sz val="10.0"/>
      </rPr>
      <t xml:space="preserve">PenaltyRuleEngine.apply() </t>
    </r>
    <r>
      <rPr>
        <rFont val="Noto Sans CJK SC"/>
        <color theme="1"/>
        <sz val="10.0"/>
      </rPr>
      <t>자동 연동</t>
    </r>
  </si>
  <si>
    <t>daily_routines, daily_routine_results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</si>
  <si>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기획서 </t>
    </r>
    <r>
      <rPr>
        <rFont val="Noto Sans"/>
        <color theme="1"/>
        <sz val="10.0"/>
      </rPr>
      <t xml:space="preserve">4.11, 7/10 </t>
    </r>
    <r>
      <rPr>
        <rFont val="Noto Sans CJK SC"/>
        <color theme="1"/>
        <sz val="10.0"/>
      </rPr>
      <t>미팅 반영</t>
    </r>
    <r>
      <rPr>
        <rFont val="Noto Sans"/>
        <color theme="1"/>
        <sz val="10.0"/>
      </rPr>
      <t>)</t>
    </r>
  </si>
  <si>
    <t>F-4.11-2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</si>
  <si>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</si>
  <si>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일 학습 계획 관리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</si>
  <si>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</si>
  <si>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주간 학습계획 비교그래프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계획 대비 실제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과목</t>
    </r>
    <r>
      <rPr>
        <rFont val="Noto Sans"/>
        <color theme="1"/>
        <sz val="10.0"/>
      </rPr>
      <t>×</t>
    </r>
    <r>
      <rPr>
        <rFont val="Noto Sans CJK SC"/>
        <color theme="1"/>
        <sz val="10.0"/>
      </rPr>
      <t>유형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교시</t>
    </r>
    <r>
      <rPr>
        <rFont val="Noto Sans"/>
        <color theme="1"/>
        <sz val="10.0"/>
      </rPr>
      <t>×</t>
    </r>
    <r>
      <rPr>
        <rFont val="Noto Sans CJK SC"/>
        <color theme="1"/>
        <sz val="10.0"/>
      </rPr>
      <t>요일 그리드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관리자 편집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교시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시간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주말의무자습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드롭다운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과목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형태별 시간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비율 파이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주차별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</si>
  <si>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>GET learning-plans(</t>
    </r>
    <r>
      <rPr>
        <rFont val="Noto Sans CJK SC"/>
        <color theme="1"/>
        <sz val="10.0"/>
      </rPr>
      <t>그리드</t>
    </r>
    <r>
      <rPr>
        <rFont val="Noto Sans"/>
        <color theme="1"/>
        <sz val="10.0"/>
      </rPr>
      <t>), PATCH items(</t>
    </r>
    <r>
      <rPr>
        <rFont val="Noto Sans CJK SC"/>
        <color theme="1"/>
        <sz val="10.0"/>
      </rPr>
      <t>파란색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교사편집만</t>
    </r>
    <r>
      <rPr>
        <rFont val="Noto Sans"/>
        <color theme="1"/>
        <sz val="10.0"/>
      </rPr>
      <t>), GET compare, GET composition(</t>
    </r>
    <r>
      <rPr>
        <rFont val="Noto Sans CJK SC"/>
        <color theme="1"/>
        <sz val="10.0"/>
      </rPr>
      <t>파이</t>
    </r>
    <r>
      <rPr>
        <rFont val="Noto Sans"/>
        <color theme="1"/>
        <sz val="10.0"/>
      </rPr>
      <t>), learning-plan-options(</t>
    </r>
    <r>
      <rPr>
        <rFont val="Noto Sans CJK SC"/>
        <color theme="1"/>
        <sz val="10.0"/>
      </rPr>
      <t>드롭다운 마스터</t>
    </r>
    <r>
      <rPr>
        <rFont val="Noto Sans"/>
        <color theme="1"/>
        <sz val="10.0"/>
      </rPr>
      <t>)
▷[0723] ①</t>
    </r>
    <r>
      <rPr>
        <rFont val="Noto Sans CJK SC"/>
        <color theme="1"/>
        <sz val="10.0"/>
      </rPr>
      <t>점심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저녁 시간대 학습입력 허용 ②지난주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주간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이전일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일간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계획 복사 ③스크롤 시 헤더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요일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고정 ④비율 게이지 가로형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편집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요일라인 정렬 ⑤과목별 누계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비율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예 </t>
    </r>
    <r>
      <rPr>
        <rFont val="Noto Sans"/>
        <color theme="1"/>
        <sz val="10.0"/>
      </rPr>
      <t>3:4:1:2) ⑥</t>
    </r>
    <r>
      <rPr>
        <rFont val="Noto Sans CJK SC"/>
        <color theme="1"/>
        <sz val="10.0"/>
      </rPr>
      <t>탐구</t>
    </r>
    <r>
      <rPr>
        <rFont val="Noto Sans"/>
        <color theme="1"/>
        <sz val="10.0"/>
      </rPr>
      <t>1/</t>
    </r>
    <r>
      <rPr>
        <rFont val="Noto Sans CJK SC"/>
        <color theme="1"/>
        <sz val="10.0"/>
      </rPr>
      <t>탐구</t>
    </r>
    <r>
      <rPr>
        <rFont val="Noto Sans"/>
        <color theme="1"/>
        <sz val="10.0"/>
      </rPr>
      <t xml:space="preserve">2 </t>
    </r>
    <r>
      <rPr>
        <rFont val="Noto Sans CJK SC"/>
        <color theme="1"/>
        <sz val="10.0"/>
      </rPr>
      <t>분리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과목 커스터마이즈 ⑦주중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주말</t>
    </r>
    <r>
      <rPr>
        <rFont val="Noto Sans"/>
        <color theme="1"/>
        <sz val="10.0"/>
      </rPr>
      <t>×</t>
    </r>
    <r>
      <rPr>
        <rFont val="Noto Sans CJK SC"/>
        <color theme="1"/>
        <sz val="10.0"/>
      </rPr>
      <t>모의고사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학습 모드 계획 ⑧이행 표시 개수→</t>
    </r>
    <r>
      <rPr>
        <rFont val="Noto Sans"/>
        <color theme="1"/>
        <sz val="10.0"/>
      </rPr>
      <t>%·</t>
    </r>
    <r>
      <rPr>
        <rFont val="Noto Sans CJK SC"/>
        <color theme="1"/>
        <sz val="10.0"/>
      </rPr>
      <t>드래그</t>
    </r>
    <r>
      <rPr>
        <rFont val="Noto Sans"/>
        <color theme="1"/>
        <sz val="10.0"/>
      </rPr>
      <t>(1</t>
    </r>
    <r>
      <rPr>
        <rFont val="Noto Sans CJK SC"/>
        <color theme="1"/>
        <sz val="10.0"/>
      </rPr>
      <t>안 바</t>
    </r>
    <r>
      <rPr>
        <rFont val="Noto Sans"/>
        <color theme="1"/>
        <sz val="10.0"/>
      </rPr>
      <t>/2</t>
    </r>
    <r>
      <rPr>
        <rFont val="Noto Sans CJK SC"/>
        <color theme="1"/>
        <sz val="10.0"/>
      </rPr>
      <t>안 ○△빈칸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개발팀 회신</t>
    </r>
    <r>
      <rPr>
        <rFont val="Noto Sans"/>
        <color theme="1"/>
        <sz val="10.0"/>
      </rPr>
      <t>) ⑨</t>
    </r>
    <r>
      <rPr>
        <rFont val="Noto Sans CJK SC"/>
        <color theme="1"/>
        <sz val="10.0"/>
      </rPr>
      <t>연간행사 마스터 반영</t>
    </r>
    <r>
      <rPr>
        <rFont val="Noto Sans"/>
        <color theme="1"/>
        <sz val="10.0"/>
      </rPr>
      <t>. ※</t>
    </r>
    <r>
      <rPr>
        <rFont val="Noto Sans CJK SC"/>
        <color theme="1"/>
        <sz val="10.0"/>
      </rPr>
      <t xml:space="preserve">교시 </t>
    </r>
    <r>
      <rPr>
        <rFont val="Noto Sans"/>
        <color theme="1"/>
        <sz val="10.0"/>
      </rPr>
      <t>20</t>
    </r>
    <r>
      <rPr>
        <rFont val="Noto Sans CJK SC"/>
        <color theme="1"/>
        <sz val="10.0"/>
      </rPr>
      <t xml:space="preserve">분 세분 편집은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복잡도로 개발팀 반대의견 회신 예정</t>
    </r>
  </si>
  <si>
    <t>learning_plans, learning_plan_items, learning_plan_options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</si>
  <si>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</si>
  <si>
    <t>#27(I-7), #39(I-19), #41(I-21)</t>
  </si>
  <si>
    <t>F-4.11-3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</si>
  <si>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</si>
  <si>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메시지 관리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공지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행정요청</t>
    </r>
    <r>
      <rPr>
        <rFont val="Noto Sans"/>
        <color theme="1"/>
        <sz val="10.0"/>
      </rPr>
      <t>·1:1</t>
    </r>
    <r>
      <rPr>
        <rFont val="Noto Sans CJK SC"/>
        <color theme="1"/>
        <sz val="10.0"/>
      </rPr>
      <t>채팅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가족채팅방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</si>
  <si>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</si>
  <si>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발송 범위별 권한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전체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본사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지점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지점관리자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담임</t>
    </r>
    <r>
      <rPr>
        <rFont val="Noto Sans"/>
        <color theme="1"/>
        <sz val="10.0"/>
      </rPr>
      <t xml:space="preserve">), 1:1 </t>
    </r>
    <r>
      <rPr>
        <rFont val="Noto Sans CJK SC"/>
        <color theme="1"/>
        <sz val="10.0"/>
      </rPr>
      <t xml:space="preserve">채팅 외부 메신저 </t>
    </r>
    <r>
      <rPr>
        <rFont val="Noto Sans"/>
        <color theme="1"/>
        <sz val="10.0"/>
      </rPr>
      <t xml:space="preserve">React </t>
    </r>
    <r>
      <rPr>
        <rFont val="Noto Sans CJK SC"/>
        <color theme="1"/>
        <sz val="10.0"/>
      </rPr>
      <t>연동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가족 채팅방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학부모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학생</t>
    </r>
    <r>
      <rPr>
        <rFont val="Noto Sans"/>
        <color theme="1"/>
        <sz val="10.0"/>
      </rPr>
      <t>+</t>
    </r>
    <r>
      <rPr>
        <rFont val="Noto Sans CJK SC"/>
        <color theme="1"/>
        <sz val="10.0"/>
      </rPr>
      <t>관리자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행정 요청 수신함</t>
    </r>
  </si>
  <si>
    <r>
      <rPr>
        <rFont val="Noto Sans"/>
        <color theme="1"/>
        <sz val="10.0"/>
      </rPr>
      <t>POST /api/v1/notices(scope</t>
    </r>
    <r>
      <rPr>
        <rFont val="Noto Sans CJK SC"/>
        <color theme="1"/>
        <sz val="10.0"/>
      </rPr>
      <t>별</t>
    </r>
    <r>
      <rPr>
        <rFont val="Noto Sans"/>
        <color theme="1"/>
        <sz val="10.0"/>
      </rPr>
      <t xml:space="preserve">), GET admin-requests, POST chat/threads(DIRECT_1TO1|FAMILY) — </t>
    </r>
    <r>
      <rPr>
        <rFont val="Noto Sans CJK SC"/>
        <color theme="1"/>
        <sz val="10.0"/>
      </rPr>
      <t>본문은 외부 벤더 저장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메타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참조</t>
    </r>
    <r>
      <rPr>
        <rFont val="Noto Sans"/>
        <color theme="1"/>
        <sz val="10.0"/>
      </rPr>
      <t>ID</t>
    </r>
    <r>
      <rPr>
        <rFont val="Noto Sans CJK SC"/>
        <color theme="1"/>
        <sz val="10.0"/>
      </rPr>
      <t xml:space="preserve">만 자체 </t>
    </r>
    <r>
      <rPr>
        <rFont val="Noto Sans"/>
        <color theme="1"/>
        <sz val="10.0"/>
      </rPr>
      <t>DB</t>
    </r>
  </si>
  <si>
    <t>notices, admin_requests, chat_threads</t>
  </si>
  <si>
    <r>
      <rPr>
        <rFont val="Noto Sans"/>
        <color theme="1"/>
        <sz val="10.0"/>
      </rPr>
      <t>DSA F-4.4(</t>
    </r>
    <r>
      <rPr>
        <rFont val="Noto Sans CJK SC"/>
        <color theme="1"/>
        <sz val="10.0"/>
      </rPr>
      <t>문자발송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와 발송권한 개념은 유사하나</t>
    </r>
    <r>
      <rPr>
        <rFont val="Noto Sans"/>
        <color theme="1"/>
        <sz val="10.0"/>
      </rPr>
      <t>, 1:1</t>
    </r>
    <r>
      <rPr>
        <rFont val="Noto Sans CJK SC"/>
        <color theme="1"/>
        <sz val="10.0"/>
      </rPr>
      <t>채팅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가족채팅방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행정요청 수신함은 </t>
    </r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전혀 없는 완전 신규 도메인</t>
    </r>
  </si>
  <si>
    <t>F-4.11-4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</si>
  <si>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</si>
  <si>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상담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일지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리포트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</si>
  <si>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</si>
  <si>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담임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 xml:space="preserve">최근상담일 헤더 </t>
    </r>
    <r>
      <rPr>
        <rFont val="Noto Sans"/>
        <color theme="1"/>
        <sz val="10.0"/>
      </rPr>
      <t xml:space="preserve">+ </t>
    </r>
    <r>
      <rPr>
        <rFont val="Noto Sans CJK SC"/>
        <color theme="1"/>
        <sz val="10.0"/>
      </rPr>
      <t>과목별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국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영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탐구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학습계획 이행률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별점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상담 항목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태그 선택형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담임 스티커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코멘트</t>
    </r>
    <r>
      <rPr>
        <rFont val="Noto Sans"/>
        <color theme="1"/>
        <sz val="10.0"/>
      </rPr>
      <t>. Weekly ABC test·</t>
    </r>
    <r>
      <rPr>
        <rFont val="Noto Sans CJK SC"/>
        <color theme="1"/>
        <sz val="10.0"/>
      </rPr>
      <t>수강진도 결합 노출</t>
    </r>
  </si>
  <si>
    <r>
      <rPr>
        <rFont val="Noto Sans"/>
        <color theme="1"/>
        <sz val="10.0"/>
      </rPr>
      <t>GET/POST consult-logs, POST consult-reports, consult-tags(</t>
    </r>
    <r>
      <rPr>
        <rFont val="Noto Sans CJK SC"/>
        <color theme="1"/>
        <sz val="10.0"/>
      </rPr>
      <t>마스터</t>
    </r>
    <r>
      <rPr>
        <rFont val="Noto Sans"/>
        <color theme="1"/>
        <sz val="10.0"/>
      </rPr>
      <t xml:space="preserve">, max_display) — </t>
    </r>
    <r>
      <rPr>
        <rFont val="Noto Sans CJK SC"/>
        <color theme="1"/>
        <sz val="10.0"/>
      </rPr>
      <t>성적 상세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학습계획 비교 데이터 결합
▷</t>
    </r>
    <r>
      <rPr>
        <rFont val="Noto Sans"/>
        <color theme="1"/>
        <sz val="10.0"/>
      </rPr>
      <t xml:space="preserve">[0723] </t>
    </r>
    <r>
      <rPr>
        <rFont val="Noto Sans CJK SC"/>
        <color theme="1"/>
        <sz val="10.0"/>
      </rPr>
      <t>담임별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반별 필터 상담현황 조회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한 담임이 여러 반 학생 담당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필요항목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이름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학번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좌석번호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입학일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신상기록부 작성여부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초도상담현황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미상담 시 빨간 경고</t>
    </r>
    <r>
      <rPr>
        <rFont val="Noto Sans"/>
        <color theme="1"/>
        <sz val="10.0"/>
      </rPr>
      <t>)·</t>
    </r>
    <r>
      <rPr>
        <rFont val="Noto Sans CJK SC"/>
        <color theme="1"/>
        <sz val="10.0"/>
      </rPr>
      <t>상담일자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상담유형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담임별 학생명단 조회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출력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이행률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별점</t>
    </r>
    <r>
      <rPr>
        <rFont val="Noto Sans"/>
        <color theme="1"/>
        <sz val="10.0"/>
      </rPr>
      <t xml:space="preserve">) vs %·○△✗ </t>
    </r>
    <r>
      <rPr>
        <rFont val="Noto Sans CJK SC"/>
        <color theme="1"/>
        <sz val="10.0"/>
      </rPr>
      <t>표기 정합 필요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신상기록부</t>
    </r>
    <r>
      <rPr>
        <rFont val="Noto Sans"/>
        <color theme="1"/>
        <sz val="10.0"/>
      </rPr>
      <t xml:space="preserve">(F-4.11-9) </t>
    </r>
    <r>
      <rPr>
        <rFont val="Noto Sans CJK SC"/>
        <color theme="1"/>
        <sz val="10.0"/>
      </rPr>
      <t>열람</t>
    </r>
    <r>
      <rPr>
        <rFont val="Noto Sans"/>
        <color theme="1"/>
        <sz val="10.0"/>
      </rPr>
      <t xml:space="preserve">·PDF </t>
    </r>
    <r>
      <rPr>
        <rFont val="Noto Sans CJK SC"/>
        <color theme="1"/>
        <sz val="10.0"/>
      </rPr>
      <t>연계</t>
    </r>
  </si>
  <si>
    <t>consult_tags, consult_report_subjects, consult_logs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</si>
  <si>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구글시트로 운영 중이던 것을 시스템화</t>
    </r>
    <r>
      <rPr>
        <rFont val="Noto Sans"/>
        <color theme="1"/>
        <sz val="10.0"/>
      </rPr>
      <t xml:space="preserve">, I-15 </t>
    </r>
    <r>
      <rPr>
        <rFont val="Noto Sans CJK SC"/>
        <color theme="1"/>
        <sz val="10.0"/>
      </rPr>
      <t>참고</t>
    </r>
    <r>
      <rPr>
        <rFont val="Noto Sans"/>
        <color theme="1"/>
        <sz val="10.0"/>
      </rPr>
      <t>)</t>
    </r>
  </si>
  <si>
    <t>#22(I-2), #39(I-19), #37(I-17)</t>
  </si>
  <si>
    <t>F-4.11-5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</si>
  <si>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</si>
  <si>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t>승인 라우팅 관리</t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</si>
  <si>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</si>
  <si>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학생 신청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사유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정기일정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방화벽 등</t>
    </r>
    <r>
      <rPr>
        <rFont val="Noto Sans"/>
        <color theme="1"/>
        <sz val="10.0"/>
      </rPr>
      <t xml:space="preserve">) → </t>
    </r>
    <r>
      <rPr>
        <rFont val="Noto Sans CJK SC"/>
        <color theme="1"/>
        <sz val="10.0"/>
      </rPr>
      <t>항목별 승인 주체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학부모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선생님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자동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에 따라 자동 라우팅</t>
    </r>
  </si>
  <si>
    <r>
      <rPr>
        <rFont val="Noto Sans"/>
        <color theme="1"/>
        <sz val="10.0"/>
      </rPr>
      <t xml:space="preserve">approval_items(approver_type: PARENT|TEACHER|AUTO), GET /approvals?assignee=me, POST .../:approve|:reject
▷[0723] </t>
    </r>
    <r>
      <rPr>
        <rFont val="Noto Sans CJK SC"/>
        <color theme="1"/>
        <sz val="10.0"/>
      </rPr>
      <t xml:space="preserve">승인 대기 </t>
    </r>
    <r>
      <rPr>
        <rFont val="Noto Sans"/>
        <color theme="1"/>
        <sz val="10.0"/>
      </rPr>
      <t>UI=</t>
    </r>
    <r>
      <rPr>
        <rFont val="Noto Sans CJK SC"/>
        <color theme="1"/>
        <sz val="10.0"/>
      </rPr>
      <t>시안</t>
    </r>
    <r>
      <rPr>
        <rFont val="Noto Sans"/>
        <color theme="1"/>
        <sz val="10.0"/>
      </rPr>
      <t xml:space="preserve">1. </t>
    </r>
    <r>
      <rPr>
        <rFont val="Noto Sans CJK SC"/>
        <color theme="1"/>
        <sz val="10.0"/>
      </rPr>
      <t>에스컬레이션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부모 승인→일정시간 미응답→담임 승인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단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응답시간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입학시 승인자 사전지정은 클라이언트 미확약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개발팀 검토 회신</t>
    </r>
    <r>
      <rPr>
        <rFont val="Noto Sans"/>
        <color theme="1"/>
        <sz val="10.0"/>
      </rPr>
      <t>)</t>
    </r>
  </si>
  <si>
    <t>approval_items, approval_requests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</si>
  <si>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 xml:space="preserve">는 </t>
    </r>
    <r>
      <rPr>
        <rFont val="Noto Sans"/>
        <color theme="1"/>
        <sz val="10.0"/>
      </rPr>
      <t xml:space="preserve">F-4.1-5 </t>
    </r>
    <r>
      <rPr>
        <rFont val="Noto Sans CJK SC"/>
        <color theme="1"/>
        <sz val="10.0"/>
      </rPr>
      <t>사유신청관리에서 관리자가 직접 처리하는 구조만 확인됨 — 승인주체 자동분기 라우팅 자체는 신규</t>
    </r>
  </si>
  <si>
    <t>#32(I-12), #40(I-20)</t>
  </si>
  <si>
    <t>F-4.11-6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</si>
  <si>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</si>
  <si>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"/>
        <color theme="1"/>
        <sz val="10.0"/>
      </rPr>
      <t xml:space="preserve">Daily Report </t>
    </r>
    <r>
      <rPr>
        <rFont val="Noto Sans CJK SC"/>
        <color theme="1"/>
        <sz val="10.0"/>
      </rPr>
      <t>집계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서버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</si>
  <si>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</si>
  <si>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 xml:space="preserve">앱 </t>
    </r>
    <r>
      <rPr>
        <rFont val="Noto Sans"/>
        <color theme="1"/>
        <sz val="10.0"/>
      </rPr>
      <t>Daily Report(</t>
    </r>
    <r>
      <rPr>
        <rFont val="Noto Sans CJK SC"/>
        <color theme="1"/>
        <sz val="10.0"/>
      </rPr>
      <t>대시보드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의 데이터 원천 — 순공시간 랭킹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달력 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일자별 순공시간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질의응답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데일리테스트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학생 셀프 피드백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 xml:space="preserve">매일 밤 </t>
    </r>
    <r>
      <rPr>
        <rFont val="Noto Sans"/>
        <color theme="1"/>
        <sz val="10.0"/>
      </rPr>
      <t xml:space="preserve">FCM </t>
    </r>
    <r>
      <rPr>
        <rFont val="Noto Sans CJK SC"/>
        <color theme="1"/>
        <sz val="10.0"/>
      </rPr>
      <t>요약 푸시</t>
    </r>
  </si>
  <si>
    <r>
      <rPr>
        <rFont val="Noto Sans"/>
        <color theme="1"/>
        <sz val="10.0"/>
      </rPr>
      <t xml:space="preserve">GET daily-reports/{studentId}/{date}, .../monthly, PATCH .../self-feedback, GET study-time-rankings(scope×period </t>
    </r>
    <r>
      <rPr>
        <rFont val="Noto Sans CJK SC"/>
        <color theme="1"/>
        <sz val="10.0"/>
      </rPr>
      <t>배치 집계</t>
    </r>
    <r>
      <rPr>
        <rFont val="Noto Sans"/>
        <color theme="1"/>
        <sz val="10.0"/>
      </rPr>
      <t>)</t>
    </r>
  </si>
  <si>
    <t>daily_report_feedback, study_time_rankings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</si>
  <si>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앱 데이터 원천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서버 집계</t>
    </r>
    <r>
      <rPr>
        <rFont val="Noto Sans"/>
        <color theme="1"/>
        <sz val="10.0"/>
      </rPr>
      <t>)</t>
    </r>
  </si>
  <si>
    <t>F-4.11-7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</si>
  <si>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</si>
  <si>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대면 질의응답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영단어 시험 관리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</si>
  <si>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</si>
  <si>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대면</t>
    </r>
    <r>
      <rPr>
        <rFont val="Noto Sans"/>
        <color theme="1"/>
        <sz val="10.0"/>
      </rPr>
      <t xml:space="preserve">(OFF) </t>
    </r>
    <r>
      <rPr>
        <rFont val="Noto Sans CJK SC"/>
        <color theme="1"/>
        <sz val="10.0"/>
      </rPr>
      <t>질의응답 예약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상담실 타임 개설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예약 현황</t>
    </r>
    <r>
      <rPr>
        <rFont val="Noto Sans"/>
        <color theme="1"/>
        <sz val="10.0"/>
      </rPr>
      <t>),</t>
    </r>
    <r>
      <rPr>
        <rFont val="Noto Sans CJK SC"/>
        <color theme="1"/>
        <sz val="10.0"/>
      </rPr>
      <t>데일리 시험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디랩 콘텐츠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생성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배포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응시결과</t>
    </r>
  </si>
  <si>
    <t>GET/POST qna/offline/slots, GET qna/offline/reservations, GET/POST vocab-tests, GET vocab-tests/{id}/results</t>
  </si>
  <si>
    <t>qna_offline_slots, qna_offline_reservations, vocab_tests, vocab_test_results</t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</si>
  <si>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영단어 시험 결과는 </t>
    </r>
    <r>
      <rPr>
        <rFont val="Noto Sans"/>
        <color theme="1"/>
        <sz val="10.0"/>
      </rPr>
      <t xml:space="preserve">Daily Report </t>
    </r>
    <r>
      <rPr>
        <rFont val="Noto Sans CJK SC"/>
        <color theme="1"/>
        <sz val="10.0"/>
      </rPr>
      <t>링크로 노출 연동</t>
    </r>
  </si>
  <si>
    <t>F-4.11-8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</si>
  <si>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</si>
  <si>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좌석 이탈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복귀 신청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</si>
  <si>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</si>
  <si>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본인 공부 공간 실시간 변경 신청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강의실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화장실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공용공간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교과실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본인좌석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실시간 이동현황을 좌석표에 반영</t>
    </r>
  </si>
  <si>
    <r>
      <rPr>
        <rFont val="Noto Sans CJK SC"/>
        <color theme="1"/>
        <sz val="10.0"/>
      </rPr>
      <t>패드 소지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 xml:space="preserve">앱 신청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미소지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키오스크 병행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순찰기록을 </t>
    </r>
    <r>
      <rPr>
        <rFont val="Noto Sans"/>
        <color theme="1"/>
        <sz val="10.0"/>
      </rPr>
      <t>"</t>
    </r>
    <r>
      <rPr>
        <rFont val="Noto Sans CJK SC"/>
        <color theme="1"/>
        <sz val="10.0"/>
      </rPr>
      <t>좌석 이탈 현황</t>
    </r>
    <r>
      <rPr>
        <rFont val="Noto Sans"/>
        <color theme="1"/>
        <sz val="10.0"/>
      </rPr>
      <t>"</t>
    </r>
    <r>
      <rPr>
        <rFont val="Noto Sans CJK SC"/>
        <color theme="1"/>
        <sz val="10.0"/>
      </rPr>
      <t>으로 재정의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연동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배경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키오스크 증설 중단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잔여 </t>
    </r>
    <r>
      <rPr>
        <rFont val="Noto Sans"/>
        <color theme="1"/>
        <sz val="10.0"/>
      </rPr>
      <t>6</t>
    </r>
    <r>
      <rPr>
        <rFont val="Noto Sans CJK SC"/>
        <color theme="1"/>
        <sz val="10.0"/>
      </rPr>
      <t>대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으로 앱 대체</t>
    </r>
  </si>
  <si>
    <r>
      <rPr>
        <rFont val="Noto Sans"/>
        <color theme="1"/>
        <sz val="10.0"/>
      </rPr>
      <t>seat_move_requests, seat_map(</t>
    </r>
    <r>
      <rPr>
        <rFont val="Noto Sans CJK SC"/>
        <color theme="1"/>
        <sz val="10.0"/>
      </rPr>
      <t>가칭</t>
    </r>
    <r>
      <rPr>
        <rFont val="Noto Sans"/>
        <color theme="1"/>
        <sz val="10.0"/>
      </rPr>
      <t>), patrol_logs(</t>
    </r>
    <r>
      <rPr>
        <rFont val="Noto Sans CJK SC"/>
        <color theme="1"/>
        <sz val="10.0"/>
      </rPr>
      <t>재정의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</si>
  <si>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키오스크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좌석표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출결</t>
    </r>
    <r>
      <rPr>
        <rFont val="Noto Sans"/>
        <color theme="1"/>
        <sz val="10.0"/>
      </rPr>
      <t>(F-4.3)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</si>
  <si>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 xml:space="preserve">(0723 </t>
    </r>
    <r>
      <rPr>
        <rFont val="Noto Sans CJK SC"/>
        <color theme="1"/>
        <sz val="10.0"/>
      </rPr>
      <t>앱 디자인 피드백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통화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키오스크 대체 목적</t>
    </r>
  </si>
  <si>
    <t>#36(I-16), #2(D-2)</t>
  </si>
  <si>
    <t>F-4.11-9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</si>
  <si>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</si>
  <si>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신상기록부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입학 필수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학생 입력</t>
    </r>
    <r>
      <rPr>
        <rFont val="Noto Sans"/>
        <color theme="1"/>
        <sz val="10.0"/>
      </rPr>
      <t>)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</si>
  <si>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</si>
  <si>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입학 시 필수 작성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회원가입 후 앱에서 학생 본인이 설문형 입력→강제 진행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학년별 폼 분기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고</t>
    </r>
    <r>
      <rPr>
        <rFont val="Noto Sans"/>
        <color theme="1"/>
        <sz val="10.0"/>
      </rPr>
      <t>2·</t>
    </r>
    <r>
      <rPr>
        <rFont val="Noto Sans CJK SC"/>
        <color theme="1"/>
        <sz val="10.0"/>
      </rPr>
      <t>고</t>
    </r>
    <r>
      <rPr>
        <rFont val="Noto Sans"/>
        <color theme="1"/>
        <sz val="10.0"/>
      </rPr>
      <t>3=</t>
    </r>
    <r>
      <rPr>
        <rFont val="Noto Sans CJK SC"/>
        <color theme="1"/>
        <sz val="10.0"/>
      </rPr>
      <t xml:space="preserve">단순 </t>
    </r>
    <r>
      <rPr>
        <rFont val="Noto Sans"/>
        <color theme="1"/>
        <sz val="10.0"/>
      </rPr>
      <t xml:space="preserve">/ </t>
    </r>
    <r>
      <rPr>
        <rFont val="Noto Sans CJK SC"/>
        <color theme="1"/>
        <sz val="10.0"/>
      </rPr>
      <t>재수</t>
    </r>
    <r>
      <rPr>
        <rFont val="Noto Sans"/>
        <color theme="1"/>
        <sz val="10.0"/>
      </rPr>
      <t>·N</t>
    </r>
    <r>
      <rPr>
        <rFont val="Noto Sans CJK SC"/>
        <color theme="1"/>
        <sz val="10.0"/>
      </rPr>
      <t>수</t>
    </r>
    <r>
      <rPr>
        <rFont val="Noto Sans"/>
        <color theme="1"/>
        <sz val="10.0"/>
      </rPr>
      <t>=4</t>
    </r>
    <r>
      <rPr>
        <rFont val="Noto Sans CJK SC"/>
        <color theme="1"/>
        <sz val="10.0"/>
      </rPr>
      <t>종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신상기록부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전년도 학습방법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개별 학습방법</t>
    </r>
    <r>
      <rPr>
        <rFont val="Noto Sans"/>
        <color theme="1"/>
        <sz val="10.0"/>
      </rPr>
      <t>·1</t>
    </r>
    <r>
      <rPr>
        <rFont val="Noto Sans CJK SC"/>
        <color theme="1"/>
        <sz val="10.0"/>
      </rPr>
      <t>학기 학습계획표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</si>
  <si>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가입 기본정보 자동표시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설문 입력 제외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관리 학생상담 탭에서 열람</t>
    </r>
    <r>
      <rPr>
        <rFont val="Noto Sans"/>
        <color theme="1"/>
        <sz val="10.0"/>
      </rPr>
      <t xml:space="preserve">+PDF </t>
    </r>
    <r>
      <rPr>
        <rFont val="Noto Sans CJK SC"/>
        <color theme="1"/>
        <sz val="10.0"/>
      </rPr>
      <t>다운로드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선생님 출력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미작성 시 등록 미완</t>
    </r>
  </si>
  <si>
    <r>
      <rPr>
        <rFont val="Noto Sans"/>
        <color theme="1"/>
        <sz val="10.0"/>
      </rPr>
      <t>student_profiles, profile_forms(</t>
    </r>
    <r>
      <rPr>
        <rFont val="Noto Sans CJK SC"/>
        <color theme="1"/>
        <sz val="10.0"/>
      </rPr>
      <t>가칭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</si>
  <si>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온보딩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회원가입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상담</t>
    </r>
    <r>
      <rPr>
        <rFont val="Noto Sans"/>
        <color theme="1"/>
        <sz val="10.0"/>
      </rPr>
      <t>(F-4.11-4)</t>
    </r>
  </si>
  <si>
    <r>
      <rPr>
        <rFont val="Noto Sans CJK SC"/>
        <color theme="1"/>
        <sz val="10.0"/>
      </rPr>
      <t>구글시트로 운영 중이던 초도상담 자료의 앱화</t>
    </r>
    <r>
      <rPr>
        <rFont val="Noto Sans"/>
        <color theme="1"/>
        <sz val="10.0"/>
      </rPr>
      <t xml:space="preserve">(0723 </t>
    </r>
    <r>
      <rPr>
        <rFont val="Noto Sans CJK SC"/>
        <color theme="1"/>
        <sz val="10.0"/>
      </rPr>
      <t>피드백</t>
    </r>
    <r>
      <rPr>
        <rFont val="Noto Sans"/>
        <color theme="1"/>
        <sz val="10.0"/>
      </rPr>
      <t xml:space="preserve">, I-15 </t>
    </r>
    <r>
      <rPr>
        <rFont val="Noto Sans CJK SC"/>
        <color theme="1"/>
        <sz val="10.0"/>
      </rPr>
      <t>연계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완전 신규</t>
    </r>
  </si>
  <si>
    <t>#37(I-17), #35(I-15)</t>
  </si>
  <si>
    <t>F-4.11-10</t>
  </si>
  <si>
    <r>
      <rPr>
        <rFont val="Noto Sans"/>
        <color theme="1"/>
        <sz val="10.0"/>
      </rPr>
      <t xml:space="preserve">[D.Lab 4.11] </t>
    </r>
    <r>
      <rPr>
        <rFont val="Noto Sans CJK SC"/>
        <color theme="1"/>
        <sz val="10.0"/>
      </rPr>
      <t>신규 확장</t>
    </r>
  </si>
  <si>
    <r>
      <rPr>
        <rFont val="Noto Sans CJK SC"/>
        <color theme="1"/>
        <sz val="10.0"/>
      </rPr>
      <t>연간 행사 마스터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관리자</t>
    </r>
    <r>
      <rPr>
        <rFont val="Noto Sans"/>
        <color theme="1"/>
        <sz val="10.0"/>
      </rPr>
      <t>)→</t>
    </r>
    <r>
      <rPr>
        <rFont val="Noto Sans CJK SC"/>
        <color theme="1"/>
        <sz val="10.0"/>
      </rPr>
      <t>학습계획 반영</t>
    </r>
  </si>
  <si>
    <r>
      <rPr>
        <rFont val="Noto Sans CJK SC"/>
        <b/>
        <color theme="1"/>
        <sz val="9.0"/>
      </rPr>
      <t>신규개발</t>
    </r>
    <r>
      <rPr>
        <rFont val="Noto Sans"/>
        <b/>
        <color theme="1"/>
        <sz val="9.0"/>
      </rPr>
      <t>-</t>
    </r>
    <r>
      <rPr>
        <rFont val="Noto Sans CJK SC"/>
        <b/>
        <color theme="1"/>
        <sz val="9.0"/>
      </rPr>
      <t>요구사항신규</t>
    </r>
  </si>
  <si>
    <r>
      <rPr>
        <rFont val="Noto Sans CJK SC"/>
        <color theme="1"/>
        <sz val="10.0"/>
      </rPr>
      <t>관리자가 사전 연간 행사 입력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종일 모의고사일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학생 학습계획 입력 시 해당일 자동 반영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차단</t>
    </r>
  </si>
  <si>
    <r>
      <rPr>
        <rFont val="Noto Sans CJK SC"/>
        <color theme="1"/>
        <sz val="10.0"/>
      </rPr>
      <t>행사 유형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기간 마스터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학습계획</t>
    </r>
    <r>
      <rPr>
        <rFont val="Noto Sans"/>
        <color theme="1"/>
        <sz val="10.0"/>
      </rPr>
      <t>(F-4.11-2)</t>
    </r>
    <r>
      <rPr>
        <rFont val="Noto Sans CJK SC"/>
        <color theme="1"/>
        <sz val="10.0"/>
      </rPr>
      <t>에서 참조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기초설정</t>
    </r>
    <r>
      <rPr>
        <rFont val="Noto Sans"/>
        <color theme="1"/>
        <sz val="10.0"/>
      </rPr>
      <t xml:space="preserve">(4.10) </t>
    </r>
    <r>
      <rPr>
        <rFont val="Noto Sans CJK SC"/>
        <color theme="1"/>
        <sz val="10.0"/>
      </rPr>
      <t>하위 배치 가능</t>
    </r>
  </si>
  <si>
    <r>
      <rPr>
        <rFont val="Noto Sans"/>
        <color theme="1"/>
        <sz val="10.0"/>
      </rPr>
      <t>annual_events(</t>
    </r>
    <r>
      <rPr>
        <rFont val="Noto Sans CJK SC"/>
        <color theme="1"/>
        <sz val="10.0"/>
      </rPr>
      <t>가칭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</si>
  <si>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학습계획</t>
    </r>
    <r>
      <rPr>
        <rFont val="Noto Sans"/>
        <color theme="1"/>
        <sz val="10.0"/>
      </rPr>
      <t xml:space="preserve">(F-4.11-2), </t>
    </r>
    <r>
      <rPr>
        <rFont val="Noto Sans CJK SC"/>
        <color theme="1"/>
        <sz val="10.0"/>
      </rPr>
      <t>기초설정</t>
    </r>
    <r>
      <rPr>
        <rFont val="Noto Sans"/>
        <color theme="1"/>
        <sz val="10.0"/>
      </rPr>
      <t>(4.10)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</si>
  <si>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>에 대응 화면 없음 — 완전 신규</t>
    </r>
    <r>
      <rPr>
        <rFont val="Noto Sans"/>
        <color theme="1"/>
        <sz val="10.0"/>
      </rPr>
      <t xml:space="preserve">(0723 </t>
    </r>
    <r>
      <rPr>
        <rFont val="Noto Sans CJK SC"/>
        <color theme="1"/>
        <sz val="10.0"/>
      </rPr>
      <t>피드백</t>
    </r>
    <r>
      <rPr>
        <rFont val="Noto Sans"/>
        <color theme="1"/>
        <sz val="10.0"/>
      </rPr>
      <t>)</t>
    </r>
  </si>
  <si>
    <t>#41(I-21)</t>
  </si>
  <si>
    <r>
      <rPr>
        <rFont val="Noto Sans CJK SC"/>
        <b/>
        <color rgb="FF1F4E78"/>
        <sz val="20.0"/>
      </rPr>
      <t>리스크</t>
    </r>
    <r>
      <rPr>
        <rFont val="Noto Sans"/>
        <b/>
        <color rgb="FF1F4E78"/>
        <sz val="20.0"/>
      </rPr>
      <t>·</t>
    </r>
    <r>
      <rPr>
        <rFont val="Noto Sans CJK SC"/>
        <b/>
        <color rgb="FF1F4E78"/>
        <sz val="20.0"/>
      </rPr>
      <t xml:space="preserve">전제사항 </t>
    </r>
    <r>
      <rPr>
        <rFont val="Noto Sans"/>
        <b/>
        <color rgb="FF1F4E78"/>
        <sz val="20.0"/>
      </rPr>
      <t>(</t>
    </r>
    <r>
      <rPr>
        <rFont val="Noto Sans CJK SC"/>
        <b/>
        <color rgb="FF1F4E78"/>
        <sz val="20.0"/>
      </rPr>
      <t>소스코드 미보유</t>
    </r>
    <r>
      <rPr>
        <rFont val="Noto Sans"/>
        <b/>
        <color rgb="FF1F4E78"/>
        <sz val="20.0"/>
      </rPr>
      <t>)</t>
    </r>
  </si>
  <si>
    <r>
      <rPr>
        <rFont val="Noto Sans CJK SC"/>
        <color rgb="FF555555"/>
        <sz val="10.0"/>
      </rPr>
      <t>대조 대상</t>
    </r>
    <r>
      <rPr>
        <rFont val="Noto Sans"/>
        <color rgb="FF555555"/>
        <sz val="10.0"/>
      </rPr>
      <t>: DSA_</t>
    </r>
    <r>
      <rPr>
        <rFont val="Noto Sans CJK SC"/>
        <color rgb="FF555555"/>
        <sz val="10.0"/>
      </rPr>
      <t>기능분석</t>
    </r>
    <r>
      <rPr>
        <rFont val="Noto Sans"/>
        <color rgb="FF555555"/>
        <sz val="10.0"/>
      </rPr>
      <t>_</t>
    </r>
    <r>
      <rPr>
        <rFont val="Noto Sans CJK SC"/>
        <color rgb="FF555555"/>
        <sz val="10.0"/>
      </rPr>
      <t>요구사항정의서</t>
    </r>
    <r>
      <rPr>
        <rFont val="Noto Sans"/>
        <color rgb="FF555555"/>
        <sz val="10.0"/>
      </rPr>
      <t>_v2(</t>
    </r>
    <r>
      <rPr>
        <rFont val="Noto Sans CJK SC"/>
        <color rgb="FF555555"/>
        <sz val="10.0"/>
      </rPr>
      <t>화면 실사</t>
    </r>
    <r>
      <rPr>
        <rFont val="Noto Sans"/>
        <color rgb="FF555555"/>
        <sz val="10.0"/>
      </rPr>
      <t xml:space="preserve">) / DLab </t>
    </r>
    <r>
      <rPr>
        <rFont val="Noto Sans CJK SC"/>
        <color rgb="FF555555"/>
        <sz val="10.0"/>
      </rPr>
      <t>기획정리</t>
    </r>
    <r>
      <rPr>
        <rFont val="Noto Sans"/>
        <color rgb="FF555555"/>
        <sz val="10.0"/>
      </rPr>
      <t>·</t>
    </r>
    <r>
      <rPr>
        <rFont val="Noto Sans CJK SC"/>
        <color rgb="FF555555"/>
        <sz val="10.0"/>
      </rPr>
      <t xml:space="preserve">확인필요사항 </t>
    </r>
    <r>
      <rPr>
        <rFont val="Noto Sans"/>
        <color rgb="FF555555"/>
        <sz val="10.0"/>
      </rPr>
      <t>v5 / Dlab</t>
    </r>
    <r>
      <rPr>
        <rFont val="Noto Sans CJK SC"/>
        <color rgb="FF555555"/>
        <sz val="10.0"/>
      </rPr>
      <t xml:space="preserve">통합관리 기술개발문서 </t>
    </r>
    <r>
      <rPr>
        <rFont val="Noto Sans"/>
        <color rgb="FF555555"/>
        <sz val="10.0"/>
      </rPr>
      <t xml:space="preserve">v1.3  ·  </t>
    </r>
    <r>
      <rPr>
        <rFont val="Noto Sans CJK SC"/>
        <color rgb="FF555555"/>
        <sz val="10.0"/>
      </rPr>
      <t>작성일</t>
    </r>
    <r>
      <rPr>
        <rFont val="Noto Sans"/>
        <color rgb="FF555555"/>
        <sz val="10.0"/>
      </rPr>
      <t>: 2026-07-19
※ '</t>
    </r>
    <r>
      <rPr>
        <rFont val="Noto Sans CJK SC"/>
        <color rgb="FF555555"/>
        <sz val="10.0"/>
      </rPr>
      <t>매출프로그램 재구축</t>
    </r>
    <r>
      <rPr>
        <rFont val="Noto Sans"/>
        <color rgb="FF555555"/>
        <sz val="10.0"/>
      </rPr>
      <t xml:space="preserve">' </t>
    </r>
    <r>
      <rPr>
        <rFont val="Noto Sans CJK SC"/>
        <color rgb="FF555555"/>
        <sz val="10.0"/>
      </rPr>
      <t xml:space="preserve">문서의 </t>
    </r>
    <r>
      <rPr>
        <rFont val="Noto Sans"/>
        <color rgb="FF555555"/>
        <sz val="10.0"/>
      </rPr>
      <t>4</t>
    </r>
    <r>
      <rPr>
        <rFont val="Noto Sans CJK SC"/>
        <color rgb="FF555555"/>
        <sz val="10.0"/>
      </rPr>
      <t>시트</t>
    </r>
    <r>
      <rPr>
        <rFont val="Noto Sans"/>
        <color rgb="FF555555"/>
        <sz val="10.0"/>
      </rPr>
      <t>(</t>
    </r>
    <r>
      <rPr>
        <rFont val="Noto Sans CJK SC"/>
        <color rgb="FF555555"/>
        <sz val="10.0"/>
      </rPr>
      <t>기술검증 갭분석</t>
    </r>
    <r>
      <rPr>
        <rFont val="Noto Sans"/>
        <color rgb="FF555555"/>
        <sz val="10.0"/>
      </rPr>
      <t>)</t>
    </r>
    <r>
      <rPr>
        <rFont val="Noto Sans CJK SC"/>
        <color rgb="FF555555"/>
        <sz val="10.0"/>
      </rPr>
      <t>는 실제 소스코드</t>
    </r>
    <r>
      <rPr>
        <rFont val="Noto Sans"/>
        <color rgb="FF555555"/>
        <sz val="10.0"/>
      </rPr>
      <t xml:space="preserve">·DB </t>
    </r>
    <r>
      <rPr>
        <rFont val="Noto Sans CJK SC"/>
        <color rgb="FF555555"/>
        <sz val="10.0"/>
      </rPr>
      <t>실측을 전제로 하나</t>
    </r>
    <r>
      <rPr>
        <rFont val="Noto Sans"/>
        <color rgb="FF555555"/>
        <sz val="10.0"/>
      </rPr>
      <t xml:space="preserve">, </t>
    </r>
    <r>
      <rPr>
        <rFont val="Noto Sans CJK SC"/>
        <color rgb="FF555555"/>
        <sz val="10.0"/>
      </rPr>
      <t xml:space="preserve">본 프로젝트는 </t>
    </r>
    <r>
      <rPr>
        <rFont val="Noto Sans"/>
        <color rgb="FF555555"/>
        <sz val="10.0"/>
      </rPr>
      <t xml:space="preserve">DSA </t>
    </r>
    <r>
      <rPr>
        <rFont val="Noto Sans CJK SC"/>
        <color rgb="FF555555"/>
        <sz val="10.0"/>
      </rPr>
      <t>소스코드</t>
    </r>
    <r>
      <rPr>
        <rFont val="Noto Sans"/>
        <color rgb="FF555555"/>
        <sz val="10.0"/>
      </rPr>
      <t xml:space="preserve">/DB </t>
    </r>
    <r>
      <rPr>
        <rFont val="Noto Sans CJK SC"/>
        <color rgb="FF555555"/>
        <sz val="10.0"/>
      </rPr>
      <t>접근이 불가능하여 동일한 코드 레벨 검증을 수행할 수 없다</t>
    </r>
    <r>
      <rPr>
        <rFont val="Noto Sans"/>
        <color rgb="FF555555"/>
        <sz val="10.0"/>
      </rPr>
      <t xml:space="preserve">. </t>
    </r>
    <r>
      <rPr>
        <rFont val="Noto Sans CJK SC"/>
        <color rgb="FF555555"/>
        <sz val="10.0"/>
      </rPr>
      <t>이 시트는 그 차이를 명시하고</t>
    </r>
    <r>
      <rPr>
        <rFont val="Noto Sans"/>
        <color rgb="FF555555"/>
        <sz val="10.0"/>
      </rPr>
      <t xml:space="preserve">, </t>
    </r>
    <r>
      <rPr>
        <rFont val="Noto Sans CJK SC"/>
        <color rgb="FF555555"/>
        <sz val="10.0"/>
      </rPr>
      <t>화면 실사만으로 가능한 검증의 한계와 리스크를 정리한다</t>
    </r>
    <r>
      <rPr>
        <rFont val="Noto Sans"/>
        <color rgb="FF555555"/>
        <sz val="10.0"/>
      </rPr>
      <t>.</t>
    </r>
  </si>
  <si>
    <t>① 검증 개요 및 핵심 결론</t>
  </si>
  <si>
    <t>트랙</t>
  </si>
  <si>
    <t>핵심 질문</t>
  </si>
  <si>
    <t>판정 결론</t>
  </si>
  <si>
    <r>
      <rPr>
        <rFont val="Noto Sans"/>
        <color theme="1"/>
        <sz val="10.0"/>
      </rPr>
      <t>DB(</t>
    </r>
    <r>
      <rPr>
        <rFont val="Noto Sans CJK SC"/>
        <color theme="1"/>
        <sz val="10.0"/>
      </rPr>
      <t>소스 실측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</si>
  <si>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데이터 모델이 실재하는가</t>
    </r>
  </si>
  <si>
    <r>
      <rPr>
        <rFont val="Noto Sans CJK SC"/>
        <color theme="1"/>
        <sz val="10.0"/>
      </rPr>
      <t xml:space="preserve">❌ 해당 트랙 수행 불가 — </t>
    </r>
    <r>
      <rPr>
        <rFont val="Noto Sans"/>
        <color theme="1"/>
        <sz val="10.0"/>
      </rPr>
      <t xml:space="preserve">DSA DB </t>
    </r>
    <r>
      <rPr>
        <rFont val="Noto Sans CJK SC"/>
        <color theme="1"/>
        <sz val="10.0"/>
      </rPr>
      <t>접근 권한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자료 없음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통해서만 간접 확인 가능</t>
    </r>
    <r>
      <rPr>
        <rFont val="Noto Sans"/>
        <color theme="1"/>
        <sz val="10.0"/>
      </rPr>
      <t>(D-1~D-9)</t>
    </r>
  </si>
  <si>
    <r>
      <rPr>
        <rFont val="Noto Sans CJK SC"/>
        <color theme="1"/>
        <sz val="10.0"/>
      </rPr>
      <t>백엔드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소스 실측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</si>
  <si>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핵심 로직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상벌점 자동화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급식 결제분기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승인 라우팅 등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이 어디에 있는가</t>
    </r>
  </si>
  <si>
    <r>
      <rPr>
        <rFont val="Noto Sans CJK SC"/>
        <color theme="1"/>
        <sz val="10.0"/>
      </rPr>
      <t xml:space="preserve">❌ 해당 트랙 수행 불가 — </t>
    </r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소스코드 없음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전 로직 신규 설계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구현 확정</t>
    </r>
  </si>
  <si>
    <r>
      <rPr>
        <rFont val="Noto Sans CJK SC"/>
        <color theme="1"/>
        <sz val="10.0"/>
      </rPr>
      <t>프론트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화면 실사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</si>
  <si>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화면이 기획서 요구사항을 실제로 충족하는가</t>
    </r>
  </si>
  <si>
    <r>
      <rPr>
        <rFont val="Noto Sans CJK SC"/>
        <color theme="1"/>
        <sz val="10.0"/>
      </rPr>
      <t xml:space="preserve">✅ 수행 가능 트랙 — </t>
    </r>
    <r>
      <rPr>
        <rFont val="Noto Sans"/>
        <color theme="1"/>
        <sz val="10.0"/>
      </rPr>
      <t>19</t>
    </r>
    <r>
      <rPr>
        <rFont val="Noto Sans CJK SC"/>
        <color theme="1"/>
        <sz val="10.0"/>
      </rPr>
      <t>개 기능 화면 캡처</t>
    </r>
    <r>
      <rPr>
        <rFont val="Noto Sans"/>
        <color theme="1"/>
        <sz val="10.0"/>
      </rPr>
      <t xml:space="preserve">·UI </t>
    </r>
    <r>
      <rPr>
        <rFont val="Noto Sans CJK SC"/>
        <color theme="1"/>
        <sz val="10.0"/>
      </rPr>
      <t>구성요소 실사 완료</t>
    </r>
    <r>
      <rPr>
        <rFont val="Noto Sans"/>
        <color theme="1"/>
        <sz val="10.0"/>
      </rPr>
      <t>(1</t>
    </r>
    <r>
      <rPr>
        <rFont val="Noto Sans CJK SC"/>
        <color theme="1"/>
        <sz val="10.0"/>
      </rPr>
      <t>시트 참고</t>
    </r>
    <r>
      <rPr>
        <rFont val="Noto Sans"/>
        <color theme="1"/>
        <sz val="10.0"/>
      </rPr>
      <t xml:space="preserve">). </t>
    </r>
    <r>
      <rPr>
        <rFont val="Noto Sans CJK SC"/>
        <color theme="1"/>
        <sz val="10.0"/>
      </rPr>
      <t>단</t>
    </r>
    <r>
      <rPr>
        <rFont val="Noto Sans"/>
        <color theme="1"/>
        <sz val="10.0"/>
      </rPr>
      <t xml:space="preserve">, UI </t>
    </r>
    <r>
      <rPr>
        <rFont val="Noto Sans CJK SC"/>
        <color theme="1"/>
        <sz val="10.0"/>
      </rPr>
      <t>관찰로는 내부 검증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성능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제약조건까지 확인 불가</t>
    </r>
  </si>
  <si>
    <r>
      <rPr>
        <rFont val="Noto Sans CJK SC"/>
        <b/>
        <color rgb="FFFFFFFF"/>
        <sz val="12.0"/>
      </rPr>
      <t xml:space="preserve">② 소스 실측 불가로 인한 범위 제한 </t>
    </r>
    <r>
      <rPr>
        <rFont val="Noto Sans"/>
        <b/>
        <color rgb="FFFFFFFF"/>
        <sz val="12.0"/>
      </rPr>
      <t>(</t>
    </r>
    <r>
      <rPr>
        <rFont val="Noto Sans CJK SC"/>
        <b/>
        <color rgb="FFFFFFFF"/>
        <sz val="12.0"/>
      </rPr>
      <t>매출프로그램 문서 대비</t>
    </r>
    <r>
      <rPr>
        <rFont val="Noto Sans"/>
        <b/>
        <color rgb="FFFFFFFF"/>
        <sz val="12.0"/>
      </rPr>
      <t>)</t>
    </r>
  </si>
  <si>
    <r>
      <rPr>
        <rFont val="Noto Sans CJK SC"/>
        <b/>
        <color rgb="FFFFFFFF"/>
        <sz val="10.0"/>
      </rPr>
      <t>매출프로그램 문서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참고 형식</t>
    </r>
    <r>
      <rPr>
        <rFont val="Noto Sans"/>
        <b/>
        <color rgb="FFFFFFFF"/>
        <sz val="10.0"/>
      </rPr>
      <t>)</t>
    </r>
  </si>
  <si>
    <t>본 프로젝트 대응</t>
  </si>
  <si>
    <t>사유</t>
  </si>
  <si>
    <r>
      <rPr>
        <rFont val="Noto Sans CJK SC"/>
        <color theme="1"/>
        <sz val="10.0"/>
      </rPr>
      <t>코드</t>
    </r>
    <r>
      <rPr>
        <rFont val="Noto Sans"/>
        <color theme="1"/>
        <sz val="10.0"/>
      </rPr>
      <t xml:space="preserve">·DB </t>
    </r>
    <r>
      <rPr>
        <rFont val="Noto Sans CJK SC"/>
        <color theme="1"/>
        <sz val="10.0"/>
      </rPr>
      <t>실측 체크리스트</t>
    </r>
    <r>
      <rPr>
        <rFont val="Noto Sans"/>
        <color theme="1"/>
        <sz val="10.0"/>
      </rPr>
      <t xml:space="preserve">(BE-xx, DB-xx, FE-xx) </t>
    </r>
    <r>
      <rPr>
        <rFont val="Noto Sans CJK SC"/>
        <color theme="1"/>
        <sz val="10.0"/>
      </rPr>
      <t>기반 판정</t>
    </r>
  </si>
  <si>
    <r>
      <rPr>
        <rFont val="Noto Sans CJK SC"/>
        <color theme="1"/>
        <sz val="10.0"/>
      </rPr>
      <t>화면 실사 근거</t>
    </r>
    <r>
      <rPr>
        <rFont val="Noto Sans"/>
        <color theme="1"/>
        <sz val="10.0"/>
      </rPr>
      <t xml:space="preserve">(DSA </t>
    </r>
    <r>
      <rPr>
        <rFont val="Noto Sans CJK SC"/>
        <color theme="1"/>
        <sz val="10.0"/>
      </rPr>
      <t>캡처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 xml:space="preserve">로 대체 — </t>
    </r>
    <r>
      <rPr>
        <rFont val="Noto Sans"/>
        <color theme="1"/>
        <sz val="10.0"/>
      </rPr>
      <t>1</t>
    </r>
    <r>
      <rPr>
        <rFont val="Noto Sans CJK SC"/>
        <color theme="1"/>
        <sz val="10.0"/>
      </rPr>
      <t xml:space="preserve">시트 </t>
    </r>
    <r>
      <rPr>
        <rFont val="Noto Sans"/>
        <color theme="1"/>
        <sz val="10.0"/>
      </rPr>
      <t xml:space="preserve">'DSA </t>
    </r>
    <r>
      <rPr>
        <rFont val="Noto Sans CJK SC"/>
        <color theme="1"/>
        <sz val="10.0"/>
      </rPr>
      <t>화면 실사 근거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컬럼 참고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</si>
  <si>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소스코드</t>
    </r>
    <r>
      <rPr>
        <rFont val="Noto Sans"/>
        <color theme="1"/>
        <sz val="10.0"/>
      </rPr>
      <t xml:space="preserve">·DB </t>
    </r>
    <r>
      <rPr>
        <rFont val="Noto Sans CJK SC"/>
        <color theme="1"/>
        <sz val="10.0"/>
      </rPr>
      <t>접근 불가</t>
    </r>
  </si>
  <si>
    <r>
      <rPr>
        <rFont val="Noto Sans"/>
        <color theme="1"/>
        <sz val="10.0"/>
      </rPr>
      <t>[</t>
    </r>
    <r>
      <rPr>
        <rFont val="Noto Sans CJK SC"/>
        <color theme="1"/>
        <sz val="10.0"/>
      </rPr>
      <t>기존이관</t>
    </r>
    <r>
      <rPr>
        <rFont val="Noto Sans"/>
        <color theme="1"/>
        <sz val="10.0"/>
      </rPr>
      <t>-</t>
    </r>
    <r>
      <rPr>
        <rFont val="Noto Sans CJK SC"/>
        <color theme="1"/>
        <sz val="10.0"/>
      </rPr>
      <t>무수정</t>
    </r>
    <r>
      <rPr>
        <rFont val="Noto Sans"/>
        <color theme="1"/>
        <sz val="10.0"/>
      </rPr>
      <t xml:space="preserve">] </t>
    </r>
    <r>
      <rPr>
        <rFont val="Noto Sans CJK SC"/>
        <color theme="1"/>
        <sz val="10.0"/>
      </rPr>
      <t>구분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레거시 코드 그대로 재사용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</si>
  <si>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해당 구분 사용하지 않음 — 전 항목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신규개발</t>
    </r>
    <r>
      <rPr>
        <rFont val="Noto Sans"/>
        <color theme="1"/>
        <sz val="10.0"/>
      </rPr>
      <t>-*] 3</t>
    </r>
    <r>
      <rPr>
        <rFont val="Noto Sans CJK SC"/>
        <color theme="1"/>
        <sz val="10.0"/>
      </rPr>
      <t>종 중 하나로만 분류</t>
    </r>
  </si>
  <si>
    <r>
      <rPr>
        <rFont val="Noto Sans CJK SC"/>
        <color theme="1"/>
        <sz val="10.0"/>
      </rPr>
      <t>이관할 코드 자체가 없음</t>
    </r>
    <r>
      <rPr>
        <rFont val="Noto Sans"/>
        <color theme="1"/>
        <sz val="10.0"/>
      </rPr>
      <t>(0.</t>
    </r>
    <r>
      <rPr>
        <rFont val="Noto Sans CJK SC"/>
        <color theme="1"/>
        <sz val="10.0"/>
      </rPr>
      <t>개요 경고 참고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</si>
  <si>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스택 재확인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레거시 실제 기술스택 검증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</si>
  <si>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해당 없음 — 신규 스택은 처음부터 </t>
    </r>
    <r>
      <rPr>
        <rFont val="Noto Sans"/>
        <color theme="1"/>
        <sz val="10.0"/>
      </rPr>
      <t xml:space="preserve">D.Lab </t>
    </r>
    <r>
      <rPr>
        <rFont val="Noto Sans CJK SC"/>
        <color theme="1"/>
        <sz val="10.0"/>
      </rPr>
      <t xml:space="preserve">기술 개발문서 </t>
    </r>
    <r>
      <rPr>
        <rFont val="Noto Sans"/>
        <color theme="1"/>
        <sz val="10.0"/>
      </rPr>
      <t>2</t>
    </r>
    <r>
      <rPr>
        <rFont val="Noto Sans CJK SC"/>
        <color theme="1"/>
        <sz val="10.0"/>
      </rPr>
      <t>장 기준으로 설계</t>
    </r>
  </si>
  <si>
    <r>
      <rPr>
        <rFont val="Noto Sans CJK SC"/>
        <color theme="1"/>
        <sz val="10.0"/>
      </rPr>
      <t xml:space="preserve">레거시 스택을 실측할 소스가 없어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재확인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 xml:space="preserve">이 아닌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신규 결정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사안</t>
    </r>
  </si>
  <si>
    <r>
      <rPr>
        <rFont val="Noto Sans CJK SC"/>
        <b/>
        <color rgb="FFFFFFFF"/>
        <sz val="12.0"/>
      </rPr>
      <t xml:space="preserve">③ 전제 조건 및 가정 </t>
    </r>
    <r>
      <rPr>
        <rFont val="Noto Sans"/>
        <b/>
        <color rgb="FFFFFFFF"/>
        <sz val="12.0"/>
      </rPr>
      <t>(</t>
    </r>
    <r>
      <rPr>
        <rFont val="Noto Sans CJK SC"/>
        <b/>
        <color rgb="FFFFFFFF"/>
        <sz val="12.0"/>
      </rPr>
      <t>개발 착수 전 반드시 인지해야 할 사항</t>
    </r>
    <r>
      <rPr>
        <rFont val="Noto Sans"/>
        <b/>
        <color rgb="FFFFFFFF"/>
        <sz val="12.0"/>
      </rPr>
      <t>)</t>
    </r>
  </si>
  <si>
    <r>
      <rPr>
        <rFont val="Noto Sans CJK SC"/>
        <b/>
        <color rgb="FFFFFFFF"/>
        <sz val="10.0"/>
      </rPr>
      <t>가정</t>
    </r>
    <r>
      <rPr>
        <rFont val="Noto Sans"/>
        <b/>
        <color rgb="FFFFFFFF"/>
        <sz val="10.0"/>
      </rPr>
      <t>/</t>
    </r>
    <r>
      <rPr>
        <rFont val="Noto Sans CJK SC"/>
        <b/>
        <color rgb="FFFFFFFF"/>
        <sz val="10.0"/>
      </rPr>
      <t>전제</t>
    </r>
  </si>
  <si>
    <t>영향받는 영역</t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</si>
  <si>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 xml:space="preserve">실사에서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기존 사용 가능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 xml:space="preserve">으로 분류된 화면도 코드는 </t>
    </r>
    <r>
      <rPr>
        <rFont val="Noto Sans"/>
        <color theme="1"/>
        <sz val="10.0"/>
      </rPr>
      <t xml:space="preserve">100% </t>
    </r>
    <r>
      <rPr>
        <rFont val="Noto Sans CJK SC"/>
        <color theme="1"/>
        <sz val="10.0"/>
      </rPr>
      <t>신규 작성한다</t>
    </r>
  </si>
  <si>
    <r>
      <rPr>
        <rFont val="Noto Sans CJK SC"/>
        <color theme="1"/>
        <sz val="10.0"/>
      </rPr>
      <t>사용자 확인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본 대화</t>
    </r>
    <r>
      <rPr>
        <rFont val="Noto Sans"/>
        <color theme="1"/>
        <sz val="10.0"/>
      </rPr>
      <t xml:space="preserve">) — DSA </t>
    </r>
    <r>
      <rPr>
        <rFont val="Noto Sans CJK SC"/>
        <color theme="1"/>
        <sz val="10.0"/>
      </rPr>
      <t>소스코드 부재</t>
    </r>
  </si>
  <si>
    <r>
      <rPr>
        <rFont val="Noto Sans"/>
        <color theme="1"/>
        <sz val="10.0"/>
      </rPr>
      <t>1</t>
    </r>
    <r>
      <rPr>
        <rFont val="Noto Sans CJK SC"/>
        <color theme="1"/>
        <sz val="10.0"/>
      </rPr>
      <t xml:space="preserve">시트 전체 —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신규개발</t>
    </r>
    <r>
      <rPr>
        <rFont val="Noto Sans"/>
        <color theme="1"/>
        <sz val="10.0"/>
      </rPr>
      <t>-</t>
    </r>
    <r>
      <rPr>
        <rFont val="Noto Sans CJK SC"/>
        <color theme="1"/>
        <sz val="10.0"/>
      </rPr>
      <t>요구사항검증됨</t>
    </r>
    <r>
      <rPr>
        <rFont val="Noto Sans"/>
        <color theme="1"/>
        <sz val="10.0"/>
      </rPr>
      <t xml:space="preserve">] </t>
    </r>
    <r>
      <rPr>
        <rFont val="Noto Sans CJK SC"/>
        <color theme="1"/>
        <sz val="10.0"/>
      </rPr>
      <t xml:space="preserve">항목도 구현 공수는 </t>
    </r>
    <r>
      <rPr>
        <rFont val="Noto Sans"/>
        <color theme="1"/>
        <sz val="10.0"/>
      </rPr>
      <t>[</t>
    </r>
    <r>
      <rPr>
        <rFont val="Noto Sans CJK SC"/>
        <color theme="1"/>
        <sz val="10.0"/>
      </rPr>
      <t>신규개발</t>
    </r>
    <r>
      <rPr>
        <rFont val="Noto Sans"/>
        <color theme="1"/>
        <sz val="10.0"/>
      </rPr>
      <t>-</t>
    </r>
    <r>
      <rPr>
        <rFont val="Noto Sans CJK SC"/>
        <color theme="1"/>
        <sz val="10.0"/>
      </rPr>
      <t>요구사항신규</t>
    </r>
    <r>
      <rPr>
        <rFont val="Noto Sans"/>
        <color theme="1"/>
        <sz val="10.0"/>
      </rPr>
      <t>]</t>
    </r>
    <r>
      <rPr>
        <rFont val="Noto Sans CJK SC"/>
        <color theme="1"/>
        <sz val="10.0"/>
      </rPr>
      <t>와 동일 수준으로 산정해야 함</t>
    </r>
  </si>
  <si>
    <r>
      <rPr>
        <rFont val="Noto Sans"/>
        <color theme="1"/>
        <sz val="10.0"/>
      </rPr>
      <t xml:space="preserve">DSA→D.Lab </t>
    </r>
    <r>
      <rPr>
        <rFont val="Noto Sans CJK SC"/>
        <color theme="1"/>
        <sz val="10.0"/>
      </rPr>
      <t xml:space="preserve">데이터 이관은 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경유로만 가능하다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직접 </t>
    </r>
    <r>
      <rPr>
        <rFont val="Noto Sans"/>
        <color theme="1"/>
        <sz val="10.0"/>
      </rPr>
      <t xml:space="preserve">DB </t>
    </r>
    <r>
      <rPr>
        <rFont val="Noto Sans CJK SC"/>
        <color theme="1"/>
        <sz val="10.0"/>
      </rPr>
      <t>접근 불가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</si>
  <si>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기획정리 </t>
    </r>
    <r>
      <rPr>
        <rFont val="Noto Sans"/>
        <color theme="1"/>
        <sz val="10.0"/>
      </rPr>
      <t>D-1</t>
    </r>
  </si>
  <si>
    <r>
      <rPr>
        <rFont val="Noto Sans CJK SC"/>
        <color theme="1"/>
        <sz val="10.0"/>
      </rPr>
      <t>학생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상벌점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출결 데이터 초기 셋업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마이그레이션 일정</t>
    </r>
    <r>
      <rPr>
        <rFont val="Noto Sans"/>
        <color theme="1"/>
        <sz val="10.0"/>
      </rPr>
      <t>(Phase 4)</t>
    </r>
  </si>
  <si>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 xml:space="preserve">화면 실사는 </t>
    </r>
    <r>
      <rPr>
        <rFont val="Noto Sans"/>
        <color theme="1"/>
        <sz val="10.0"/>
      </rPr>
      <t xml:space="preserve">UI </t>
    </r>
    <r>
      <rPr>
        <rFont val="Noto Sans CJK SC"/>
        <color theme="1"/>
        <sz val="10.0"/>
      </rPr>
      <t>구성요소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필드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버튼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목록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까지만 신뢰 가능하며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버튼 클릭 시 내부 처리 로직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계산식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검증규칙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>은 육안 관찰로 확정할 수 없다</t>
    </r>
  </si>
  <si>
    <t>실사 방법론상 한계</t>
  </si>
  <si>
    <r>
      <rPr>
        <rFont val="Noto Sans"/>
        <color theme="1"/>
        <sz val="10.0"/>
      </rPr>
      <t>2</t>
    </r>
    <r>
      <rPr>
        <rFont val="Noto Sans CJK SC"/>
        <color theme="1"/>
        <sz val="10.0"/>
      </rPr>
      <t xml:space="preserve">시트 ⑤ </t>
    </r>
    <r>
      <rPr>
        <rFont val="Noto Sans"/>
        <color theme="1"/>
        <sz val="10.0"/>
      </rPr>
      <t xml:space="preserve">'DSA </t>
    </r>
    <r>
      <rPr>
        <rFont val="Noto Sans CJK SC"/>
        <color theme="1"/>
        <sz val="10.0"/>
      </rPr>
      <t>실사 대조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 xml:space="preserve">표의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부분검증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판정 전체</t>
    </r>
  </si>
  <si>
    <r>
      <rPr>
        <rFont val="Noto Sans"/>
        <color theme="1"/>
        <sz val="10.0"/>
      </rPr>
      <t>DSA</t>
    </r>
    <r>
      <rPr>
        <rFont val="Noto Sans CJK SC"/>
        <color theme="1"/>
        <sz val="10.0"/>
      </rPr>
      <t xml:space="preserve">에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기존 사용 가능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이 없는 완전 신규 도메인</t>
    </r>
    <r>
      <rPr>
        <rFont val="Noto Sans"/>
        <color theme="1"/>
        <sz val="10.0"/>
      </rPr>
      <t xml:space="preserve">(4.11 </t>
    </r>
    <r>
      <rPr>
        <rFont val="Noto Sans CJK SC"/>
        <color theme="1"/>
        <sz val="10.0"/>
      </rPr>
      <t>등</t>
    </r>
    <r>
      <rPr>
        <rFont val="Noto Sans"/>
        <color theme="1"/>
        <sz val="10.0"/>
      </rPr>
      <t>)</t>
    </r>
    <r>
      <rPr>
        <rFont val="Noto Sans CJK SC"/>
        <color theme="1"/>
        <sz val="10.0"/>
      </rPr>
      <t xml:space="preserve">은 참고할 </t>
    </r>
    <r>
      <rPr>
        <rFont val="Noto Sans"/>
        <color theme="1"/>
        <sz val="10.0"/>
      </rPr>
      <t xml:space="preserve">UX </t>
    </r>
    <r>
      <rPr>
        <rFont val="Noto Sans CJK SC"/>
        <color theme="1"/>
        <sz val="10.0"/>
      </rPr>
      <t>자산이 전혀 없어 화면설계부터 신규로 진행한다</t>
    </r>
  </si>
  <si>
    <r>
      <rPr>
        <rFont val="Noto Sans"/>
        <color theme="1"/>
        <sz val="10.0"/>
      </rPr>
      <t>1</t>
    </r>
    <r>
      <rPr>
        <rFont val="Noto Sans CJK SC"/>
        <color theme="1"/>
        <sz val="10.0"/>
      </rPr>
      <t xml:space="preserve">시트 </t>
    </r>
    <r>
      <rPr>
        <rFont val="Noto Sans"/>
        <color theme="1"/>
        <sz val="10.0"/>
      </rPr>
      <t xml:space="preserve">NEW </t>
    </r>
    <r>
      <rPr>
        <rFont val="Noto Sans CJK SC"/>
        <color theme="1"/>
        <sz val="10.0"/>
      </rPr>
      <t xml:space="preserve">분류 </t>
    </r>
    <r>
      <rPr>
        <rFont val="Noto Sans"/>
        <color theme="1"/>
        <sz val="10.0"/>
      </rPr>
      <t>8</t>
    </r>
    <r>
      <rPr>
        <rFont val="Noto Sans CJK SC"/>
        <color theme="1"/>
        <sz val="10.0"/>
      </rPr>
      <t>건</t>
    </r>
  </si>
  <si>
    <r>
      <rPr>
        <rFont val="Noto Sans"/>
        <color theme="1"/>
        <sz val="10.0"/>
      </rPr>
      <t xml:space="preserve">FE </t>
    </r>
    <r>
      <rPr>
        <rFont val="Noto Sans CJK SC"/>
        <color theme="1"/>
        <sz val="10.0"/>
      </rPr>
      <t>설계 공수 — 디자인가이드</t>
    </r>
    <r>
      <rPr>
        <rFont val="Noto Sans"/>
        <color theme="1"/>
        <sz val="10.0"/>
      </rPr>
      <t xml:space="preserve">(I-9) </t>
    </r>
    <r>
      <rPr>
        <rFont val="Noto Sans CJK SC"/>
        <color theme="1"/>
        <sz val="10.0"/>
      </rPr>
      <t>확정이 특히 중요</t>
    </r>
  </si>
  <si>
    <t>우선순위</t>
  </si>
  <si>
    <t>관련영역</t>
  </si>
  <si>
    <t>이슈 구분</t>
  </si>
  <si>
    <t>이슈 내용</t>
  </si>
  <si>
    <t>확인 필요 대상</t>
  </si>
  <si>
    <t>상태</t>
  </si>
  <si>
    <r>
      <rPr>
        <rFont val="Noto Sans CJK SC"/>
        <b/>
        <color rgb="FFFFFFFF"/>
        <sz val="10.0"/>
      </rPr>
      <t>비고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원 코드</t>
    </r>
    <r>
      <rPr>
        <rFont val="Noto Sans"/>
        <b/>
        <color rgb="FFFFFFFF"/>
        <sz val="10.0"/>
      </rPr>
      <t>)</t>
    </r>
  </si>
  <si>
    <t>최우선</t>
  </si>
  <si>
    <t>대성전산</t>
  </si>
  <si>
    <t>데이터</t>
  </si>
  <si>
    <r>
      <rPr>
        <rFont val="Noto Sans CJK SC"/>
        <color theme="1"/>
        <sz val="10.0"/>
      </rPr>
      <t xml:space="preserve">기존 </t>
    </r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데이터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상벌점 항목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출결 등</t>
    </r>
    <r>
      <rPr>
        <rFont val="Noto Sans"/>
        <color theme="1"/>
        <sz val="10.0"/>
      </rPr>
      <t xml:space="preserve">) export </t>
    </r>
    <r>
      <rPr>
        <rFont val="Noto Sans CJK SC"/>
        <color theme="1"/>
        <sz val="10.0"/>
      </rPr>
      <t>가능 여부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포맷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범위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초기 셋업 방식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계약 종료 전 병행 운영 가능성 → 단방향 </t>
    </r>
    <r>
      <rPr>
        <rFont val="Noto Sans"/>
        <color theme="1"/>
        <sz val="10.0"/>
      </rPr>
      <t>1</t>
    </r>
    <r>
      <rPr>
        <rFont val="Noto Sans CJK SC"/>
        <color theme="1"/>
        <sz val="10.0"/>
      </rPr>
      <t>회 이관이 아닌 양방향 동기화 어댑터 전제 설계 필요</t>
    </r>
  </si>
  <si>
    <t>대성전산 협의</t>
  </si>
  <si>
    <t>미해결</t>
  </si>
  <si>
    <r>
      <rPr>
        <rFont val="Noto Sans"/>
        <color theme="1"/>
        <sz val="10.0"/>
      </rPr>
      <t xml:space="preserve">D-1 · </t>
    </r>
    <r>
      <rPr>
        <rFont val="Noto Sans CJK SC"/>
        <color theme="1"/>
        <sz val="10.0"/>
      </rPr>
      <t xml:space="preserve">코드 없이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기반 이관만 가능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위 전제 참고</t>
    </r>
    <r>
      <rPr>
        <rFont val="Noto Sans"/>
        <color theme="1"/>
        <sz val="10.0"/>
      </rPr>
      <t>)</t>
    </r>
  </si>
  <si>
    <t>연동</t>
  </si>
  <si>
    <r>
      <rPr>
        <rFont val="Noto Sans CJK SC"/>
        <color theme="1"/>
        <sz val="10.0"/>
      </rPr>
      <t>키오스크 소유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펌웨어 제어 주체</t>
    </r>
    <r>
      <rPr>
        <rFont val="Noto Sans"/>
        <color theme="1"/>
        <sz val="10.0"/>
      </rPr>
      <t xml:space="preserve">, Webhook </t>
    </r>
    <r>
      <rPr>
        <rFont val="Noto Sans CJK SC"/>
        <color theme="1"/>
        <sz val="10.0"/>
      </rPr>
      <t>엔드포인트 변경 가능 여부</t>
    </r>
    <r>
      <rPr>
        <rFont val="Noto Sans"/>
        <color theme="1"/>
        <sz val="10.0"/>
      </rPr>
      <t xml:space="preserve">, payload </t>
    </r>
    <r>
      <rPr>
        <rFont val="Noto Sans CJK SC"/>
        <color theme="1"/>
        <sz val="10.0"/>
      </rPr>
      <t>포맷</t>
    </r>
    <r>
      <rPr>
        <rFont val="Noto Sans"/>
        <color theme="1"/>
        <sz val="10.0"/>
      </rPr>
      <t xml:space="preserve">, NFC/RFID 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-</t>
    </r>
    <r>
      <rPr>
        <rFont val="Noto Sans CJK SC"/>
        <color theme="1"/>
        <sz val="10.0"/>
      </rPr>
      <t>학번 매핑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식사체크 로직</t>
    </r>
  </si>
  <si>
    <r>
      <rPr>
        <rFont val="Noto Sans"/>
        <color theme="1"/>
        <sz val="10.0"/>
      </rPr>
      <t xml:space="preserve">D-2 · </t>
    </r>
    <r>
      <rPr>
        <rFont val="Noto Sans CJK SC"/>
        <color theme="1"/>
        <sz val="10.0"/>
      </rPr>
      <t>출결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식사체크 전체 기능의 </t>
    </r>
    <r>
      <rPr>
        <rFont val="Noto Sans"/>
        <color theme="1"/>
        <sz val="10.0"/>
      </rPr>
      <t xml:space="preserve">Phase1 </t>
    </r>
    <r>
      <rPr>
        <rFont val="Noto Sans CJK SC"/>
        <color theme="1"/>
        <sz val="10.0"/>
      </rPr>
      <t>착수 블로커</t>
    </r>
  </si>
  <si>
    <t>높음</t>
  </si>
  <si>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조회라면 엔드포인트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인증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응답 필드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실시간성</t>
    </r>
    <r>
      <rPr>
        <rFont val="Noto Sans"/>
        <color theme="1"/>
        <sz val="10.0"/>
      </rPr>
      <t>(webhook/polling)·</t>
    </r>
    <r>
      <rPr>
        <rFont val="Noto Sans CJK SC"/>
        <color theme="1"/>
        <sz val="10.0"/>
      </rPr>
      <t>미납자 데이터 명세</t>
    </r>
  </si>
  <si>
    <r>
      <rPr>
        <rFont val="Noto Sans"/>
        <color theme="1"/>
        <sz val="10.0"/>
      </rPr>
      <t xml:space="preserve">D-3 · </t>
    </r>
    <r>
      <rPr>
        <rFont val="Noto Sans CJK SC"/>
        <color theme="1"/>
        <sz val="10.0"/>
      </rPr>
      <t>수납 현황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미납자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급식 수납 연동</t>
    </r>
  </si>
  <si>
    <t>중</t>
  </si>
  <si>
    <t>데이터모델</t>
  </si>
  <si>
    <r>
      <rPr>
        <rFont val="Noto Sans CJK SC"/>
        <color theme="1"/>
        <sz val="10.0"/>
      </rPr>
      <t>디멤버 정의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급식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회원</t>
    </r>
    <r>
      <rPr>
        <rFont val="Noto Sans"/>
        <color theme="1"/>
        <sz val="10.0"/>
      </rPr>
      <t xml:space="preserve">?), </t>
    </r>
    <r>
      <rPr>
        <rFont val="Noto Sans CJK SC"/>
        <color theme="1"/>
        <sz val="10.0"/>
      </rPr>
      <t>앱 급식 대체 후 역할 존치 여부</t>
    </r>
    <r>
      <rPr>
        <rFont val="Noto Sans"/>
        <color theme="1"/>
        <sz val="10.0"/>
      </rPr>
      <t xml:space="preserve">, API </t>
    </r>
    <r>
      <rPr>
        <rFont val="Noto Sans CJK SC"/>
        <color theme="1"/>
        <sz val="10.0"/>
      </rPr>
      <t>명세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>확정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재원생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앱 사용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교사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디멤버 사이트 관리</t>
    </r>
  </si>
  <si>
    <r>
      <rPr>
        <rFont val="Noto Sans"/>
        <color theme="1"/>
        <sz val="10.0"/>
      </rPr>
      <t xml:space="preserve">D-4 · </t>
    </r>
    <r>
      <rPr>
        <rFont val="Noto Sans CJK SC"/>
        <color theme="1"/>
        <sz val="10.0"/>
      </rPr>
      <t>급식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수납 연동 범위</t>
    </r>
  </si>
  <si>
    <t>아키텍처</t>
  </si>
  <si>
    <r>
      <rPr>
        <rFont val="Noto Sans"/>
        <color theme="1"/>
        <sz val="10.0"/>
      </rPr>
      <t>v1.1</t>
    </r>
    <r>
      <rPr>
        <rFont val="Noto Sans CJK SC"/>
        <color theme="1"/>
        <sz val="10.0"/>
      </rPr>
      <t xml:space="preserve">엔 있고 </t>
    </r>
    <r>
      <rPr>
        <rFont val="Noto Sans"/>
        <color theme="1"/>
        <sz val="10.0"/>
      </rPr>
      <t>v1.2</t>
    </r>
    <r>
      <rPr>
        <rFont val="Noto Sans CJK SC"/>
        <color theme="1"/>
        <sz val="10.0"/>
      </rPr>
      <t xml:space="preserve">엔 없음 → 대성전산 </t>
    </r>
    <r>
      <rPr>
        <rFont val="Noto Sans"/>
        <color theme="1"/>
        <sz val="10.0"/>
      </rPr>
      <t>API</t>
    </r>
    <r>
      <rPr>
        <rFont val="Noto Sans CJK SC"/>
        <color theme="1"/>
        <sz val="10.0"/>
      </rPr>
      <t>를 수납만 남기는지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전면 제거인지 최종 확정</t>
    </r>
  </si>
  <si>
    <t>내부 확정</t>
  </si>
  <si>
    <r>
      <rPr>
        <rFont val="Noto Sans"/>
        <color theme="1"/>
        <sz val="10.0"/>
      </rPr>
      <t xml:space="preserve">D-5 · </t>
    </r>
    <r>
      <rPr>
        <rFont val="Noto Sans CJK SC"/>
        <color theme="1"/>
        <sz val="10.0"/>
      </rPr>
      <t>아키텍처 전제 조건</t>
    </r>
  </si>
  <si>
    <r>
      <rPr>
        <rFont val="Noto Sans CJK SC"/>
        <color theme="1"/>
        <sz val="10.0"/>
      </rPr>
      <t>앱 급식 결제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취소가 대성전산 수납에 반영되는 방식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직접 </t>
    </r>
    <r>
      <rPr>
        <rFont val="Noto Sans"/>
        <color theme="1"/>
        <sz val="10.0"/>
      </rPr>
      <t>write? pull?)</t>
    </r>
  </si>
  <si>
    <r>
      <rPr>
        <rFont val="Noto Sans"/>
        <color theme="1"/>
        <sz val="10.0"/>
      </rPr>
      <t xml:space="preserve">D-6 · </t>
    </r>
    <r>
      <rPr>
        <rFont val="Noto Sans CJK SC"/>
        <color theme="1"/>
        <sz val="10.0"/>
      </rPr>
      <t xml:space="preserve">급식 결제 </t>
    </r>
    <r>
      <rPr>
        <rFont val="Noto Sans"/>
        <color theme="1"/>
        <sz val="10.0"/>
      </rPr>
      <t xml:space="preserve">+ </t>
    </r>
    <r>
      <rPr>
        <rFont val="Noto Sans CJK SC"/>
        <color theme="1"/>
        <sz val="10.0"/>
      </rPr>
      <t>수납 연동</t>
    </r>
  </si>
  <si>
    <r>
      <rPr>
        <rFont val="Noto Sans CJK SC"/>
        <color theme="1"/>
        <sz val="10.0"/>
      </rPr>
      <t>입학예약폼 항목 확정본 전달 요청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대성 확정 후 개발팀 전달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</si>
  <si>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D-7 · </t>
    </r>
    <r>
      <rPr>
        <rFont val="Noto Sans CJK SC"/>
        <color theme="1"/>
        <sz val="10.0"/>
      </rPr>
      <t>대기자 관리 연동 착수 블로커</t>
    </r>
  </si>
  <si>
    <t>일정</t>
  </si>
  <si>
    <r>
      <rPr>
        <rFont val="Noto Sans CJK SC"/>
        <color theme="1"/>
        <sz val="10.0"/>
      </rPr>
      <t xml:space="preserve">대성전산 </t>
    </r>
    <r>
      <rPr>
        <rFont val="Noto Sans"/>
        <color theme="1"/>
        <sz val="10.0"/>
      </rPr>
      <t xml:space="preserve">DSA </t>
    </r>
    <r>
      <rPr>
        <rFont val="Noto Sans CJK SC"/>
        <color theme="1"/>
        <sz val="10.0"/>
      </rPr>
      <t>계약 종료 시점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병행 운영 기간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전환 시점</t>
    </r>
    <r>
      <rPr>
        <rFont val="Noto Sans"/>
        <color theme="1"/>
        <sz val="10.0"/>
      </rPr>
      <t xml:space="preserve">) → </t>
    </r>
    <r>
      <rPr>
        <rFont val="Noto Sans CJK SC"/>
        <color theme="1"/>
        <sz val="10.0"/>
      </rPr>
      <t>동기화 전략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컷오버 계획</t>
    </r>
  </si>
  <si>
    <t>행정팀 확인</t>
  </si>
  <si>
    <r>
      <rPr>
        <rFont val="Noto Sans"/>
        <color theme="1"/>
        <sz val="10.0"/>
      </rPr>
      <t xml:space="preserve">D-8 · </t>
    </r>
    <r>
      <rPr>
        <rFont val="Noto Sans CJK SC"/>
        <color theme="1"/>
        <sz val="10.0"/>
      </rPr>
      <t>마이그레이션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컷오버</t>
    </r>
    <r>
      <rPr>
        <rFont val="Noto Sans"/>
        <color theme="1"/>
        <sz val="10.0"/>
      </rPr>
      <t>(Phase4)</t>
    </r>
  </si>
  <si>
    <t>결제</t>
  </si>
  <si>
    <r>
      <rPr>
        <rFont val="Noto Sans CJK SC"/>
        <color theme="1"/>
        <sz val="10.0"/>
      </rPr>
      <t>등록비</t>
    </r>
    <r>
      <rPr>
        <rFont val="Noto Sans"/>
        <color theme="1"/>
        <sz val="10.0"/>
      </rPr>
      <t xml:space="preserve">(TUITION) </t>
    </r>
    <r>
      <rPr>
        <rFont val="Noto Sans CJK SC"/>
        <color theme="1"/>
        <sz val="10.0"/>
      </rPr>
      <t xml:space="preserve">결제 주체 확정 — 기술문서는 학원명의 </t>
    </r>
    <r>
      <rPr>
        <rFont val="Noto Sans"/>
        <color theme="1"/>
        <sz val="10.0"/>
      </rPr>
      <t xml:space="preserve">PG </t>
    </r>
    <r>
      <rPr>
        <rFont val="Noto Sans CJK SC"/>
        <color theme="1"/>
        <sz val="10.0"/>
      </rPr>
      <t xml:space="preserve">직접결제 전제 </t>
    </r>
    <r>
      <rPr>
        <rFont val="Noto Sans"/>
        <color theme="1"/>
        <sz val="10.0"/>
      </rPr>
      <t xml:space="preserve">vs </t>
    </r>
    <r>
      <rPr>
        <rFont val="Noto Sans CJK SC"/>
        <color theme="1"/>
        <sz val="10.0"/>
      </rPr>
      <t>기획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미팅은 수납</t>
    </r>
    <r>
      <rPr>
        <rFont val="Noto Sans"/>
        <color theme="1"/>
        <sz val="10.0"/>
      </rPr>
      <t>=</t>
    </r>
    <r>
      <rPr>
        <rFont val="Noto Sans CJK SC"/>
        <color theme="1"/>
        <sz val="10.0"/>
      </rPr>
      <t>대성전산으로 상충</t>
    </r>
  </si>
  <si>
    <r>
      <rPr>
        <rFont val="Noto Sans CJK SC"/>
        <color theme="1"/>
        <sz val="10.0"/>
      </rPr>
      <t>기획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행정 확정</t>
    </r>
  </si>
  <si>
    <r>
      <rPr>
        <rFont val="Noto Sans"/>
        <color theme="1"/>
        <sz val="10.0"/>
      </rPr>
      <t xml:space="preserve">D-9 · </t>
    </r>
    <r>
      <rPr>
        <rFont val="Noto Sans CJK SC"/>
        <color theme="1"/>
        <sz val="10.0"/>
      </rPr>
      <t>결제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수납 아키텍처 근간</t>
    </r>
    <r>
      <rPr>
        <rFont val="Noto Sans"/>
        <color theme="1"/>
        <sz val="10.0"/>
      </rPr>
      <t>, D-5</t>
    </r>
    <r>
      <rPr>
        <rFont val="Noto Sans CJK SC"/>
        <color theme="1"/>
        <sz val="10.0"/>
      </rPr>
      <t>와 연동</t>
    </r>
  </si>
  <si>
    <r>
      <rPr>
        <rFont val="Noto Sans"/>
        <color theme="1"/>
        <sz val="10.0"/>
      </rPr>
      <t>D.Lab</t>
    </r>
    <r>
      <rPr>
        <rFont val="Noto Sans CJK SC"/>
        <color theme="1"/>
        <sz val="10.0"/>
      </rPr>
      <t>사이트</t>
    </r>
    <r>
      <rPr>
        <rFont val="Noto Sans"/>
        <color theme="1"/>
        <sz val="10.0"/>
      </rPr>
      <t>(DSD)</t>
    </r>
  </si>
  <si>
    <r>
      <rPr>
        <rFont val="Noto Sans CJK SC"/>
        <color theme="1"/>
        <sz val="10.0"/>
      </rPr>
      <t xml:space="preserve">디멤버 사이트 입학예약폼 확정본 </t>
    </r>
    <r>
      <rPr>
        <rFont val="Noto Sans"/>
        <color theme="1"/>
        <sz val="10.0"/>
      </rPr>
      <t xml:space="preserve">+ </t>
    </r>
    <r>
      <rPr>
        <rFont val="Noto Sans CJK SC"/>
        <color theme="1"/>
        <sz val="10.0"/>
      </rPr>
      <t>데이터 연동 방식</t>
    </r>
    <r>
      <rPr>
        <rFont val="Noto Sans"/>
        <color theme="1"/>
        <sz val="10.0"/>
      </rPr>
      <t>(API/DB)</t>
    </r>
  </si>
  <si>
    <r>
      <rPr>
        <rFont val="Noto Sans"/>
        <color theme="1"/>
        <sz val="10.0"/>
      </rPr>
      <t xml:space="preserve">DSD </t>
    </r>
    <r>
      <rPr>
        <rFont val="Noto Sans CJK SC"/>
        <color theme="1"/>
        <sz val="10.0"/>
      </rPr>
      <t>협의</t>
    </r>
  </si>
  <si>
    <r>
      <rPr>
        <rFont val="Noto Sans"/>
        <color theme="1"/>
        <sz val="10.0"/>
      </rPr>
      <t xml:space="preserve">S-1 · </t>
    </r>
    <r>
      <rPr>
        <rFont val="Noto Sans CJK SC"/>
        <color theme="1"/>
        <sz val="10.0"/>
      </rPr>
      <t>대기자 관리</t>
    </r>
    <r>
      <rPr>
        <rFont val="Noto Sans"/>
        <color theme="1"/>
        <sz val="10.0"/>
      </rPr>
      <t>, D-7</t>
    </r>
    <r>
      <rPr>
        <rFont val="Noto Sans CJK SC"/>
        <color theme="1"/>
        <sz val="10.0"/>
      </rPr>
      <t>과 연동</t>
    </r>
  </si>
  <si>
    <r>
      <rPr>
        <rFont val="Noto Sans"/>
        <color theme="1"/>
        <sz val="10.0"/>
      </rPr>
      <t>D.Lab</t>
    </r>
    <r>
      <rPr>
        <rFont val="Noto Sans CJK SC"/>
        <color theme="1"/>
        <sz val="10.0"/>
      </rPr>
      <t>사이트</t>
    </r>
    <r>
      <rPr>
        <rFont val="Noto Sans"/>
        <color theme="1"/>
        <sz val="10.0"/>
      </rPr>
      <t>(DSD)</t>
    </r>
  </si>
  <si>
    <r>
      <rPr>
        <rFont val="Noto Sans CJK SC"/>
        <color theme="1"/>
        <sz val="10.0"/>
      </rPr>
      <t xml:space="preserve">성적표 </t>
    </r>
    <r>
      <rPr>
        <rFont val="Noto Sans"/>
        <color theme="1"/>
        <sz val="10.0"/>
      </rPr>
      <t xml:space="preserve">PDF → D.Lab </t>
    </r>
    <r>
      <rPr>
        <rFont val="Noto Sans CJK SC"/>
        <color theme="1"/>
        <sz val="10.0"/>
      </rPr>
      <t xml:space="preserve">사이트 업로드 </t>
    </r>
    <r>
      <rPr>
        <rFont val="Noto Sans"/>
        <color theme="1"/>
        <sz val="10.0"/>
      </rPr>
      <t>API/</t>
    </r>
    <r>
      <rPr>
        <rFont val="Noto Sans CJK SC"/>
        <color theme="1"/>
        <sz val="10.0"/>
      </rPr>
      <t>엔드포인트</t>
    </r>
  </si>
  <si>
    <r>
      <rPr>
        <rFont val="Noto Sans"/>
        <color theme="1"/>
        <sz val="10.0"/>
      </rPr>
      <t xml:space="preserve">DSD </t>
    </r>
    <r>
      <rPr>
        <rFont val="Noto Sans CJK SC"/>
        <color theme="1"/>
        <sz val="10.0"/>
      </rPr>
      <t>협의</t>
    </r>
  </si>
  <si>
    <r>
      <rPr>
        <rFont val="Noto Sans"/>
        <color theme="1"/>
        <sz val="10.0"/>
      </rPr>
      <t xml:space="preserve">S-2 · </t>
    </r>
    <r>
      <rPr>
        <rFont val="Noto Sans CJK SC"/>
        <color theme="1"/>
        <sz val="10.0"/>
      </rPr>
      <t>성적 관리</t>
    </r>
  </si>
  <si>
    <t>하</t>
  </si>
  <si>
    <r>
      <rPr>
        <rFont val="Noto Sans"/>
        <color theme="1"/>
        <sz val="10.0"/>
      </rPr>
      <t>D.Lab</t>
    </r>
    <r>
      <rPr>
        <rFont val="Noto Sans CJK SC"/>
        <color theme="1"/>
        <sz val="10.0"/>
      </rPr>
      <t>사이트</t>
    </r>
    <r>
      <rPr>
        <rFont val="Noto Sans"/>
        <color theme="1"/>
        <sz val="10.0"/>
      </rPr>
      <t>(DSD)</t>
    </r>
  </si>
  <si>
    <r>
      <rPr>
        <rFont val="Noto Sans"/>
        <color theme="1"/>
        <sz val="10.0"/>
      </rPr>
      <t>2027-12</t>
    </r>
    <r>
      <rPr>
        <rFont val="Noto Sans CJK SC"/>
        <color theme="1"/>
        <sz val="10.0"/>
      </rPr>
      <t xml:space="preserve">까지 웹뷰 </t>
    </r>
    <r>
      <rPr>
        <rFont val="Noto Sans"/>
        <color theme="1"/>
        <sz val="10.0"/>
      </rPr>
      <t>URL·</t>
    </r>
    <r>
      <rPr>
        <rFont val="Noto Sans CJK SC"/>
        <color theme="1"/>
        <sz val="10.0"/>
      </rPr>
      <t>세션 연동 방식</t>
    </r>
    <r>
      <rPr>
        <rFont val="Noto Sans"/>
        <color theme="1"/>
        <sz val="10.0"/>
      </rPr>
      <t>(v1.1 '</t>
    </r>
    <r>
      <rPr>
        <rFont val="Noto Sans CJK SC"/>
        <color theme="1"/>
        <sz val="10.0"/>
      </rPr>
      <t>보류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표기 → 진행 여부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</si>
  <si>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DSD </t>
    </r>
    <r>
      <rPr>
        <rFont val="Noto Sans CJK SC"/>
        <color theme="1"/>
        <sz val="10.0"/>
      </rPr>
      <t>협의</t>
    </r>
  </si>
  <si>
    <r>
      <rPr>
        <rFont val="Noto Sans"/>
        <color theme="1"/>
        <sz val="10.0"/>
      </rPr>
      <t xml:space="preserve">S-3 · </t>
    </r>
    <r>
      <rPr>
        <rFont val="Noto Sans CJK SC"/>
        <color theme="1"/>
        <sz val="10.0"/>
      </rPr>
      <t>부가 기능</t>
    </r>
    <r>
      <rPr>
        <rFont val="Noto Sans"/>
        <color theme="1"/>
        <sz val="10.0"/>
      </rPr>
      <t>(Phase4)</t>
    </r>
  </si>
  <si>
    <r>
      <rPr>
        <rFont val="Noto Sans"/>
        <color theme="1"/>
        <sz val="10.0"/>
      </rPr>
      <t>D.Lab</t>
    </r>
    <r>
      <rPr>
        <rFont val="Noto Sans CJK SC"/>
        <color theme="1"/>
        <sz val="10.0"/>
      </rPr>
      <t>사이트</t>
    </r>
    <r>
      <rPr>
        <rFont val="Noto Sans"/>
        <color theme="1"/>
        <sz val="10.0"/>
      </rPr>
      <t>(DSD)</t>
    </r>
  </si>
  <si>
    <r>
      <rPr>
        <rFont val="Noto Sans CJK SC"/>
        <color theme="1"/>
        <sz val="10.0"/>
      </rPr>
      <t xml:space="preserve">현재 </t>
    </r>
    <r>
      <rPr>
        <rFont val="Noto Sans"/>
        <color theme="1"/>
        <sz val="10.0"/>
      </rPr>
      <t>DSA</t>
    </r>
    <r>
      <rPr>
        <rFont val="Noto Sans CJK SC"/>
        <color theme="1"/>
        <sz val="10.0"/>
      </rPr>
      <t xml:space="preserve">에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연동으로 상담신청 중 → 해당 엔드포인트 명세 요청</t>
    </r>
  </si>
  <si>
    <r>
      <rPr>
        <rFont val="Noto Sans"/>
        <color theme="1"/>
        <sz val="10.0"/>
      </rPr>
      <t xml:space="preserve">DSD </t>
    </r>
    <r>
      <rPr>
        <rFont val="Noto Sans CJK SC"/>
        <color theme="1"/>
        <sz val="10.0"/>
      </rPr>
      <t>협의</t>
    </r>
  </si>
  <si>
    <r>
      <rPr>
        <rFont val="Noto Sans"/>
        <color theme="1"/>
        <sz val="10.0"/>
      </rPr>
      <t xml:space="preserve">S-4 · </t>
    </r>
    <r>
      <rPr>
        <rFont val="Noto Sans CJK SC"/>
        <color theme="1"/>
        <sz val="10.0"/>
      </rPr>
      <t>대기자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상담 연동</t>
    </r>
  </si>
  <si>
    <r>
      <rPr>
        <rFont val="Noto Sans"/>
        <color theme="1"/>
        <sz val="10.0"/>
      </rPr>
      <t>D.Lab</t>
    </r>
    <r>
      <rPr>
        <rFont val="Noto Sans CJK SC"/>
        <color theme="1"/>
        <sz val="10.0"/>
      </rPr>
      <t>사이트</t>
    </r>
    <r>
      <rPr>
        <rFont val="Noto Sans"/>
        <color theme="1"/>
        <sz val="10.0"/>
      </rPr>
      <t>(DSD)</t>
    </r>
  </si>
  <si>
    <t>행정</t>
  </si>
  <si>
    <r>
      <rPr>
        <rFont val="Noto Sans"/>
        <color theme="1"/>
        <sz val="10.0"/>
      </rPr>
      <t>DSD</t>
    </r>
    <r>
      <rPr>
        <rFont val="Noto Sans CJK SC"/>
        <color theme="1"/>
        <sz val="10.0"/>
      </rPr>
      <t>가 스토어 계정 보유 → 신규 앱 배포용 계정 사용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권한 위임 방식 확정</t>
    </r>
  </si>
  <si>
    <r>
      <rPr>
        <rFont val="Noto Sans"/>
        <color theme="1"/>
        <sz val="10.0"/>
      </rPr>
      <t xml:space="preserve">DSD </t>
    </r>
    <r>
      <rPr>
        <rFont val="Noto Sans CJK SC"/>
        <color theme="1"/>
        <sz val="10.0"/>
      </rPr>
      <t>협의</t>
    </r>
  </si>
  <si>
    <r>
      <rPr>
        <rFont val="Noto Sans"/>
        <color theme="1"/>
        <sz val="10.0"/>
      </rPr>
      <t xml:space="preserve">S-5 · </t>
    </r>
    <r>
      <rPr>
        <rFont val="Noto Sans CJK SC"/>
        <color theme="1"/>
        <sz val="10.0"/>
      </rPr>
      <t>앱 배포</t>
    </r>
    <r>
      <rPr>
        <rFont val="Noto Sans"/>
        <color theme="1"/>
        <sz val="10.0"/>
      </rPr>
      <t>(Phase4)</t>
    </r>
  </si>
  <si>
    <t>기타 외부연동</t>
  </si>
  <si>
    <r>
      <rPr>
        <rFont val="Noto Sans"/>
        <color theme="1"/>
        <sz val="10.0"/>
      </rPr>
      <t xml:space="preserve">Zyxel Nebula API </t>
    </r>
    <r>
      <rPr>
        <rFont val="Noto Sans CJK SC"/>
        <color theme="1"/>
        <sz val="10.0"/>
      </rPr>
      <t>크레덴셜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권한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제어 단위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단말 </t>
    </r>
    <r>
      <rPr>
        <rFont val="Noto Sans"/>
        <color theme="1"/>
        <sz val="10.0"/>
      </rPr>
      <t xml:space="preserve">vs </t>
    </r>
    <r>
      <rPr>
        <rFont val="Noto Sans CJK SC"/>
        <color theme="1"/>
        <sz val="10.0"/>
      </rPr>
      <t>정책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그룹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인강 화이트리스트 관리</t>
    </r>
  </si>
  <si>
    <t>자이엘코리아</t>
  </si>
  <si>
    <r>
      <rPr>
        <rFont val="Noto Sans"/>
        <color theme="1"/>
        <sz val="10.0"/>
      </rPr>
      <t xml:space="preserve">E-1 · </t>
    </r>
    <r>
      <rPr>
        <rFont val="Noto Sans CJK SC"/>
        <color theme="1"/>
        <sz val="10.0"/>
      </rPr>
      <t>와이파이 방화벽 해제</t>
    </r>
  </si>
  <si>
    <r>
      <rPr>
        <rFont val="Noto Sans CJK SC"/>
        <color theme="1"/>
        <sz val="10.0"/>
      </rPr>
      <t xml:space="preserve">더프리미엄모의고사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명세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인증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전화번호 기반 응답 필드</t>
    </r>
    <r>
      <rPr>
        <rFont val="Noto Sans"/>
        <color theme="1"/>
        <sz val="10.0"/>
      </rPr>
      <t xml:space="preserve">, rate limit, </t>
    </r>
    <r>
      <rPr>
        <rFont val="Noto Sans CJK SC"/>
        <color theme="1"/>
        <sz val="10.0"/>
      </rPr>
      <t>성적표 원본 제공 여부</t>
    </r>
  </si>
  <si>
    <t>더프리미엄</t>
  </si>
  <si>
    <r>
      <rPr>
        <rFont val="Noto Sans"/>
        <color theme="1"/>
        <sz val="10.0"/>
      </rPr>
      <t xml:space="preserve">E-2 · </t>
    </r>
    <r>
      <rPr>
        <rFont val="Noto Sans CJK SC"/>
        <color theme="1"/>
        <sz val="10.0"/>
      </rPr>
      <t>성적 관리</t>
    </r>
    <r>
      <rPr>
        <rFont val="Noto Sans"/>
        <color theme="1"/>
        <sz val="10.0"/>
      </rPr>
      <t xml:space="preserve">(Phase3) </t>
    </r>
    <r>
      <rPr>
        <rFont val="Noto Sans CJK SC"/>
        <color theme="1"/>
        <sz val="10.0"/>
      </rPr>
      <t>착수 블로커</t>
    </r>
  </si>
  <si>
    <r>
      <rPr>
        <rFont val="Noto Sans CJK SC"/>
        <color theme="1"/>
        <sz val="10.0"/>
      </rPr>
      <t xml:space="preserve">급식업체가 이미 계약된 </t>
    </r>
    <r>
      <rPr>
        <rFont val="Noto Sans"/>
        <color theme="1"/>
        <sz val="10.0"/>
      </rPr>
      <t>PG</t>
    </r>
    <r>
      <rPr>
        <rFont val="Noto Sans CJK SC"/>
        <color theme="1"/>
        <sz val="10.0"/>
      </rPr>
      <t xml:space="preserve">사를 사용 중 — 신규 </t>
    </r>
    <r>
      <rPr>
        <rFont val="Noto Sans"/>
        <color theme="1"/>
        <sz val="10.0"/>
      </rPr>
      <t xml:space="preserve">PG </t>
    </r>
    <r>
      <rPr>
        <rFont val="Noto Sans CJK SC"/>
        <color theme="1"/>
        <sz val="10.0"/>
      </rPr>
      <t>선정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계약 대상 아님</t>
    </r>
    <r>
      <rPr>
        <rFont val="Noto Sans"/>
        <color theme="1"/>
        <sz val="10.0"/>
      </rPr>
      <t xml:space="preserve">. </t>
    </r>
    <r>
      <rPr>
        <rFont val="Noto Sans CJK SC"/>
        <color theme="1"/>
        <sz val="10.0"/>
      </rPr>
      <t xml:space="preserve">해당 </t>
    </r>
    <r>
      <rPr>
        <rFont val="Noto Sans"/>
        <color theme="1"/>
        <sz val="10.0"/>
      </rPr>
      <t>PG</t>
    </r>
    <r>
      <rPr>
        <rFont val="Noto Sans CJK SC"/>
        <color theme="1"/>
        <sz val="10.0"/>
      </rPr>
      <t>사의 가맹점 사업자정보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 xml:space="preserve">가상계좌 발급 연동 </t>
    </r>
    <r>
      <rPr>
        <rFont val="Noto Sans"/>
        <color theme="1"/>
        <sz val="10.0"/>
      </rPr>
      <t xml:space="preserve">API </t>
    </r>
    <r>
      <rPr>
        <rFont val="Noto Sans CJK SC"/>
        <color theme="1"/>
        <sz val="10.0"/>
      </rPr>
      <t>스펙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정산주기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월</t>
    </r>
    <r>
      <rPr>
        <rFont val="Noto Sans"/>
        <color theme="1"/>
        <sz val="10.0"/>
      </rPr>
      <t>1</t>
    </r>
    <r>
      <rPr>
        <rFont val="Noto Sans CJK SC"/>
        <color theme="1"/>
        <sz val="10.0"/>
      </rPr>
      <t>회 일괄결제 등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확보 필요</t>
    </r>
  </si>
  <si>
    <r>
      <rPr>
        <rFont val="Noto Sans CJK SC"/>
        <color theme="1"/>
        <sz val="10.0"/>
      </rPr>
      <t>급식업체</t>
    </r>
    <r>
      <rPr>
        <rFont val="Noto Sans"/>
        <color theme="1"/>
        <sz val="10.0"/>
      </rPr>
      <t xml:space="preserve">(PG </t>
    </r>
    <r>
      <rPr>
        <rFont val="Noto Sans CJK SC"/>
        <color theme="1"/>
        <sz val="10.0"/>
      </rPr>
      <t>연동정보 요청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</si>
  <si>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E-3 · </t>
    </r>
    <r>
      <rPr>
        <rFont val="Noto Sans CJK SC"/>
        <color theme="1"/>
        <sz val="10.0"/>
      </rPr>
      <t>급식 관리</t>
    </r>
    <r>
      <rPr>
        <rFont val="Noto Sans"/>
        <color theme="1"/>
        <sz val="10.0"/>
      </rPr>
      <t xml:space="preserve">(Phase2) </t>
    </r>
    <r>
      <rPr>
        <rFont val="Noto Sans CJK SC"/>
        <color theme="1"/>
        <sz val="10.0"/>
      </rPr>
      <t>착수 전 연동정보 확보 필요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선정 절차 아님</t>
    </r>
    <r>
      <rPr>
        <rFont val="Noto Sans"/>
        <color theme="1"/>
        <sz val="10.0"/>
      </rPr>
      <t>)</t>
    </r>
  </si>
  <si>
    <t>계약</t>
  </si>
  <si>
    <r>
      <rPr>
        <rFont val="Noto Sans CJK SC"/>
        <color theme="1"/>
        <sz val="10.0"/>
      </rPr>
      <t>급식업체 연락처</t>
    </r>
    <r>
      <rPr>
        <rFont val="Noto Sans"/>
        <color theme="1"/>
        <sz val="10.0"/>
      </rPr>
      <t>, 3</t>
    </r>
    <r>
      <rPr>
        <rFont val="Noto Sans CJK SC"/>
        <color theme="1"/>
        <sz val="10.0"/>
      </rPr>
      <t>일 이내 취소 전달 방식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환불 프로세스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식수 마감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신청 데이터 전달</t>
    </r>
    <r>
      <rPr>
        <rFont val="Noto Sans"/>
        <color theme="1"/>
        <sz val="10.0"/>
      </rPr>
      <t xml:space="preserve">. PG </t>
    </r>
    <r>
      <rPr>
        <rFont val="Noto Sans CJK SC"/>
        <color theme="1"/>
        <sz val="10.0"/>
      </rPr>
      <t xml:space="preserve">연동정보는 </t>
    </r>
    <r>
      <rPr>
        <rFont val="Noto Sans"/>
        <color theme="1"/>
        <sz val="10.0"/>
      </rPr>
      <t>E-3</t>
    </r>
    <r>
      <rPr>
        <rFont val="Noto Sans CJK SC"/>
        <color theme="1"/>
        <sz val="10.0"/>
      </rPr>
      <t>에서 별도 확인</t>
    </r>
  </si>
  <si>
    <t>급식업체</t>
  </si>
  <si>
    <r>
      <rPr>
        <rFont val="Noto Sans"/>
        <color theme="1"/>
        <sz val="10.0"/>
      </rPr>
      <t xml:space="preserve">E-4 · </t>
    </r>
    <r>
      <rPr>
        <rFont val="Noto Sans CJK SC"/>
        <color theme="1"/>
        <sz val="10.0"/>
      </rPr>
      <t>급식 관리</t>
    </r>
  </si>
  <si>
    <r>
      <rPr>
        <rFont val="Noto Sans CJK SC"/>
        <color theme="1"/>
        <sz val="10.0"/>
      </rPr>
      <t>카카오 알림톡 발신 프로필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템플릿 사전 승인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문자 대체발송</t>
    </r>
  </si>
  <si>
    <t>카카오</t>
  </si>
  <si>
    <r>
      <rPr>
        <rFont val="Noto Sans"/>
        <color theme="1"/>
        <sz val="10.0"/>
      </rPr>
      <t xml:space="preserve">E-5 · </t>
    </r>
    <r>
      <rPr>
        <rFont val="Noto Sans CJK SC"/>
        <color theme="1"/>
        <sz val="10.0"/>
      </rPr>
      <t>문자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알림 발송</t>
    </r>
    <r>
      <rPr>
        <rFont val="Noto Sans"/>
        <color theme="1"/>
        <sz val="10.0"/>
      </rPr>
      <t xml:space="preserve">(Phase1) </t>
    </r>
    <r>
      <rPr>
        <rFont val="Noto Sans CJK SC"/>
        <color theme="1"/>
        <sz val="10.0"/>
      </rPr>
      <t>착수 블로커</t>
    </r>
  </si>
  <si>
    <t>선정</t>
  </si>
  <si>
    <r>
      <rPr>
        <rFont val="Noto Sans"/>
        <color theme="1"/>
        <sz val="10.0"/>
      </rPr>
      <t xml:space="preserve">1:1 </t>
    </r>
    <r>
      <rPr>
        <rFont val="Noto Sans CJK SC"/>
        <color theme="1"/>
        <sz val="10.0"/>
      </rPr>
      <t xml:space="preserve">채팅용 외부 유료 메신저 </t>
    </r>
    <r>
      <rPr>
        <rFont val="Noto Sans"/>
        <color theme="1"/>
        <sz val="10.0"/>
      </rPr>
      <t>1</t>
    </r>
    <r>
      <rPr>
        <rFont val="Noto Sans CJK SC"/>
        <color theme="1"/>
        <sz val="10.0"/>
      </rPr>
      <t>만명 규모 제품 선정</t>
    </r>
    <r>
      <rPr>
        <rFont val="Noto Sans"/>
        <color theme="1"/>
        <sz val="10.0"/>
      </rPr>
      <t xml:space="preserve">, React </t>
    </r>
    <r>
      <rPr>
        <rFont val="Noto Sans CJK SC"/>
        <color theme="1"/>
        <sz val="10.0"/>
      </rPr>
      <t>연동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담당</t>
    </r>
    <r>
      <rPr>
        <rFont val="Noto Sans"/>
        <color theme="1"/>
        <sz val="10.0"/>
      </rPr>
      <t xml:space="preserve">: </t>
    </r>
    <r>
      <rPr>
        <rFont val="Noto Sans CJK SC"/>
        <color theme="1"/>
        <sz val="10.0"/>
      </rPr>
      <t>서지원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개인정보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보안 검토</t>
    </r>
  </si>
  <si>
    <t>개발팀 조사</t>
  </si>
  <si>
    <r>
      <rPr>
        <rFont val="Noto Sans"/>
        <color theme="1"/>
        <sz val="10.0"/>
      </rPr>
      <t xml:space="preserve">E-6 · </t>
    </r>
    <r>
      <rPr>
        <rFont val="Noto Sans CJK SC"/>
        <color theme="1"/>
        <sz val="10.0"/>
      </rPr>
      <t>메시지 관리</t>
    </r>
    <r>
      <rPr>
        <rFont val="Noto Sans"/>
        <color theme="1"/>
        <sz val="10.0"/>
      </rPr>
      <t xml:space="preserve">(Phase3) </t>
    </r>
    <r>
      <rPr>
        <rFont val="Noto Sans CJK SC"/>
        <color theme="1"/>
        <sz val="10.0"/>
      </rPr>
      <t>착수 블로커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</si>
  <si>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</si>
  <si>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t>정책</t>
  </si>
  <si>
    <r>
      <rPr>
        <rFont val="Noto Sans CJK SC"/>
        <color theme="1"/>
        <sz val="10.0"/>
      </rPr>
      <t xml:space="preserve">교무업무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구분 항목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재정의 — 현재 불명확</t>
    </r>
  </si>
  <si>
    <t>운영팀</t>
  </si>
  <si>
    <r>
      <rPr>
        <rFont val="Noto Sans"/>
        <color theme="1"/>
        <sz val="10.0"/>
      </rPr>
      <t xml:space="preserve">I-1 · </t>
    </r>
    <r>
      <rPr>
        <rFont val="Noto Sans CJK SC"/>
        <color theme="1"/>
        <sz val="10.0"/>
      </rPr>
      <t>개발 착수 전 필수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전 항목 중 최우선급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</si>
  <si>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</si>
  <si>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상담 양식 </t>
    </r>
    <r>
      <rPr>
        <rFont val="Noto Sans"/>
        <color theme="1"/>
        <sz val="10.0"/>
      </rPr>
      <t xml:space="preserve">+ </t>
    </r>
    <r>
      <rPr>
        <rFont val="Noto Sans CJK SC"/>
        <color theme="1"/>
        <sz val="10.0"/>
      </rPr>
      <t>상담 리포트 양식 및 발송 주기 확정</t>
    </r>
  </si>
  <si>
    <r>
      <rPr>
        <rFont val="Noto Sans"/>
        <color theme="1"/>
        <sz val="10.0"/>
      </rPr>
      <t xml:space="preserve">I-2 · </t>
    </r>
    <r>
      <rPr>
        <rFont val="Noto Sans CJK SC"/>
        <color theme="1"/>
        <sz val="10.0"/>
      </rPr>
      <t>성적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상담 모듈 착수 전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</si>
  <si>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</si>
  <si>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t>앱 행정 요청 클릭 항목 리스트</t>
  </si>
  <si>
    <r>
      <rPr>
        <rFont val="Noto Sans"/>
        <color theme="1"/>
        <sz val="10.0"/>
      </rPr>
      <t xml:space="preserve">I-3 · </t>
    </r>
    <r>
      <rPr>
        <rFont val="Noto Sans CJK SC"/>
        <color theme="1"/>
        <sz val="10.0"/>
      </rPr>
      <t>메시지 모듈 착수 전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</si>
  <si>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</si>
  <si>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알림톡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푸시 전체 문구</t>
    </r>
  </si>
  <si>
    <r>
      <rPr>
        <rFont val="Noto Sans"/>
        <color theme="1"/>
        <sz val="10.0"/>
      </rPr>
      <t xml:space="preserve">I-4 · </t>
    </r>
    <r>
      <rPr>
        <rFont val="Noto Sans CJK SC"/>
        <color theme="1"/>
        <sz val="10.0"/>
      </rPr>
      <t>알림 연동 전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</si>
  <si>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</si>
  <si>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데일리루틴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출결 → 상벌점 자동 부여 규칙 매핑</t>
    </r>
  </si>
  <si>
    <r>
      <rPr>
        <rFont val="Noto Sans"/>
        <color theme="1"/>
        <sz val="10.0"/>
      </rPr>
      <t xml:space="preserve">I-5 · </t>
    </r>
    <r>
      <rPr>
        <rFont val="Noto Sans CJK SC"/>
        <color theme="1"/>
        <sz val="10.0"/>
      </rPr>
      <t>상벌점 엔진 설계 시 착수 블로커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</si>
  <si>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</si>
  <si>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순공부시간 산출 정의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입퇴실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좌석없음 반영 기준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</si>
  <si>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I-6 · Daily Report </t>
    </r>
    <r>
      <rPr>
        <rFont val="Noto Sans CJK SC"/>
        <color theme="1"/>
        <sz val="10.0"/>
      </rPr>
      <t>설계 시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</si>
  <si>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</si>
  <si>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학습계획 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파란색</t>
    </r>
    <r>
      <rPr>
        <rFont val="Noto Sans"/>
        <color theme="1"/>
        <sz val="10.0"/>
      </rPr>
      <t xml:space="preserve">' </t>
    </r>
    <r>
      <rPr>
        <rFont val="Noto Sans CJK SC"/>
        <color theme="1"/>
        <sz val="10.0"/>
      </rPr>
      <t>항목 정의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 xml:space="preserve">선생님 편집 </t>
    </r>
    <r>
      <rPr>
        <rFont val="Noto Sans"/>
        <color theme="1"/>
        <sz val="10.0"/>
      </rPr>
      <t xml:space="preserve">vs </t>
    </r>
    <r>
      <rPr>
        <rFont val="Noto Sans CJK SC"/>
        <color theme="1"/>
        <sz val="10.0"/>
      </rPr>
      <t>학생 입력 경계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</si>
  <si>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I-7 · </t>
    </r>
    <r>
      <rPr>
        <rFont val="Noto Sans CJK SC"/>
        <color theme="1"/>
        <sz val="10.0"/>
      </rPr>
      <t>학습계획 모듈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</si>
  <si>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</si>
  <si>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t>성적 리포트 상세 추후 확정 항목</t>
  </si>
  <si>
    <r>
      <rPr>
        <rFont val="Noto Sans"/>
        <color theme="1"/>
        <sz val="10.0"/>
      </rPr>
      <t xml:space="preserve">I-8 · </t>
    </r>
    <r>
      <rPr>
        <rFont val="Noto Sans CJK SC"/>
        <color theme="1"/>
        <sz val="10.0"/>
      </rPr>
      <t>성적 모듈 후반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</si>
  <si>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</si>
  <si>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t>디자인</t>
  </si>
  <si>
    <r>
      <rPr>
        <rFont val="Noto Sans"/>
        <color theme="1"/>
        <sz val="10.0"/>
      </rPr>
      <t xml:space="preserve">D.Lab </t>
    </r>
    <r>
      <rPr>
        <rFont val="Noto Sans CJK SC"/>
        <color theme="1"/>
        <sz val="10.0"/>
      </rPr>
      <t>디자인 가이드 제공 예정</t>
    </r>
  </si>
  <si>
    <t>기획팀</t>
  </si>
  <si>
    <r>
      <rPr>
        <rFont val="Noto Sans"/>
        <color theme="1"/>
        <sz val="10.0"/>
      </rPr>
      <t xml:space="preserve">I-9 · FE </t>
    </r>
    <r>
      <rPr>
        <rFont val="Noto Sans CJK SC"/>
        <color theme="1"/>
        <sz val="10.0"/>
      </rPr>
      <t>착수 전 필수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</si>
  <si>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</si>
  <si>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>'</t>
    </r>
    <r>
      <rPr>
        <rFont val="Noto Sans CJK SC"/>
        <color theme="1"/>
        <sz val="10.0"/>
      </rPr>
      <t>벌점 확정 후 사유 승인 불가</t>
    </r>
    <r>
      <rPr>
        <rFont val="Noto Sans"/>
        <color theme="1"/>
        <sz val="10.0"/>
      </rPr>
      <t>'</t>
    </r>
    <r>
      <rPr>
        <rFont val="Noto Sans CJK SC"/>
        <color theme="1"/>
        <sz val="10.0"/>
      </rPr>
      <t>의 확정 기준</t>
    </r>
  </si>
  <si>
    <r>
      <rPr>
        <rFont val="Noto Sans"/>
        <color theme="1"/>
        <sz val="10.0"/>
      </rPr>
      <t xml:space="preserve">I-10 · </t>
    </r>
    <r>
      <rPr>
        <rFont val="Noto Sans CJK SC"/>
        <color theme="1"/>
        <sz val="10.0"/>
      </rPr>
      <t>사유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벌점 로직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</si>
  <si>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</si>
  <si>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성적 엑셀 양식 자체 제작 여부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내년 양식 변경 대응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유연 매핑</t>
    </r>
    <r>
      <rPr>
        <rFont val="Noto Sans"/>
        <color theme="1"/>
        <sz val="10.0"/>
      </rPr>
      <t>), API/</t>
    </r>
    <r>
      <rPr>
        <rFont val="Noto Sans CJK SC"/>
        <color theme="1"/>
        <sz val="10.0"/>
      </rPr>
      <t>엑셀 경계</t>
    </r>
  </si>
  <si>
    <r>
      <rPr>
        <rFont val="Noto Sans"/>
        <color theme="1"/>
        <sz val="10.0"/>
      </rPr>
      <t xml:space="preserve">I-11 · </t>
    </r>
    <r>
      <rPr>
        <rFont val="Noto Sans CJK SC"/>
        <color theme="1"/>
        <sz val="10.0"/>
      </rPr>
      <t>성적 모듈 착수 전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</si>
  <si>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</si>
  <si>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학생 신청 항목별 승인 주체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학부모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선생님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자동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확정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방화벽 해제 승인 주체</t>
    </r>
  </si>
  <si>
    <r>
      <rPr>
        <rFont val="Noto Sans"/>
        <color theme="1"/>
        <sz val="10.0"/>
      </rPr>
      <t xml:space="preserve">I-12 · </t>
    </r>
    <r>
      <rPr>
        <rFont val="Noto Sans CJK SC"/>
        <color theme="1"/>
        <sz val="10.0"/>
      </rPr>
      <t>승인 로직 설계 전 착수 블로커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</si>
  <si>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</si>
  <si>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데스크 당일 급식 신청 결제 방식</t>
    </r>
    <r>
      <rPr>
        <rFont val="Noto Sans"/>
        <color theme="1"/>
        <sz val="10.0"/>
      </rPr>
      <t>(PG</t>
    </r>
    <r>
      <rPr>
        <rFont val="Noto Sans CJK SC"/>
        <color theme="1"/>
        <sz val="10.0"/>
      </rPr>
      <t>카드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현금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수납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취소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환불 주체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관리자 직접 등록 화면 필요 여부</t>
    </r>
  </si>
  <si>
    <r>
      <rPr>
        <rFont val="Noto Sans"/>
        <color theme="1"/>
        <sz val="10.0"/>
      </rPr>
      <t xml:space="preserve">I-13 · </t>
    </r>
    <r>
      <rPr>
        <rFont val="Noto Sans CJK SC"/>
        <color theme="1"/>
        <sz val="10.0"/>
      </rPr>
      <t>급식 모듈 착수 전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</si>
  <si>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</si>
  <si>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알림톡 심사 통과 여부에 따라 </t>
    </r>
    <r>
      <rPr>
        <rFont val="Noto Sans"/>
        <color theme="1"/>
        <sz val="10.0"/>
      </rPr>
      <t xml:space="preserve">FCM </t>
    </r>
    <r>
      <rPr>
        <rFont val="Noto Sans CJK SC"/>
        <color theme="1"/>
        <sz val="10.0"/>
      </rPr>
      <t xml:space="preserve">단독 </t>
    </r>
    <r>
      <rPr>
        <rFont val="Noto Sans"/>
        <color theme="1"/>
        <sz val="10.0"/>
      </rPr>
      <t xml:space="preserve">vs </t>
    </r>
    <r>
      <rPr>
        <rFont val="Noto Sans CJK SC"/>
        <color theme="1"/>
        <sz val="10.0"/>
      </rPr>
      <t>알림톡 병행 확정</t>
    </r>
  </si>
  <si>
    <r>
      <rPr>
        <rFont val="Noto Sans"/>
        <color theme="1"/>
        <sz val="10.0"/>
      </rPr>
      <t xml:space="preserve">I-14 · </t>
    </r>
    <r>
      <rPr>
        <rFont val="Noto Sans CJK SC"/>
        <color theme="1"/>
        <sz val="10.0"/>
      </rPr>
      <t>알림 연동 시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</si>
  <si>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</si>
  <si>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t>마이그레이션</t>
  </si>
  <si>
    <r>
      <rPr>
        <rFont val="Noto Sans CJK SC"/>
        <color theme="1"/>
        <sz val="10.0"/>
      </rPr>
      <t xml:space="preserve">구글 시트 </t>
    </r>
    <r>
      <rPr>
        <rFont val="Noto Sans"/>
        <color theme="1"/>
        <sz val="10.0"/>
      </rPr>
      <t>2</t>
    </r>
    <r>
      <rPr>
        <rFont val="Noto Sans CJK SC"/>
        <color theme="1"/>
        <sz val="10.0"/>
      </rPr>
      <t>개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상담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학생관리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실제 구조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컬럼 파악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이관 계획</t>
    </r>
  </si>
  <si>
    <r>
      <rPr>
        <rFont val="Noto Sans CJK SC"/>
        <color theme="1"/>
        <sz val="10.0"/>
      </rPr>
      <t>개발팀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운영팀</t>
    </r>
  </si>
  <si>
    <r>
      <rPr>
        <rFont val="Noto Sans"/>
        <color theme="1"/>
        <sz val="10.0"/>
      </rPr>
      <t xml:space="preserve">I-15 · Phase 0 </t>
    </r>
    <r>
      <rPr>
        <rFont val="Noto Sans CJK SC"/>
        <color theme="1"/>
        <sz val="10.0"/>
      </rPr>
      <t>착수 항목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</si>
  <si>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대성전산</t>
    </r>
  </si>
  <si>
    <r>
      <rPr>
        <rFont val="Noto Sans CJK SC"/>
        <color theme="1"/>
        <sz val="10.0"/>
      </rPr>
      <t>좌석 이탈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복귀 — 위치 구분값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좌석표 실시간 반영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앱↔키오스크 병행 처리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잔여 키오스크</t>
    </r>
    <r>
      <rPr>
        <rFont val="Noto Sans"/>
        <color theme="1"/>
        <sz val="10.0"/>
      </rPr>
      <t>(6</t>
    </r>
    <r>
      <rPr>
        <rFont val="Noto Sans CJK SC"/>
        <color theme="1"/>
        <sz val="10.0"/>
      </rPr>
      <t>대</t>
    </r>
    <r>
      <rPr>
        <rFont val="Noto Sans"/>
        <color theme="1"/>
        <sz val="10.0"/>
      </rPr>
      <t xml:space="preserve">) </t>
    </r>
    <r>
      <rPr>
        <rFont val="Noto Sans CJK SC"/>
        <color theme="1"/>
        <sz val="10.0"/>
      </rPr>
      <t>연동 범위</t>
    </r>
  </si>
  <si>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대성전산</t>
    </r>
  </si>
  <si>
    <r>
      <rPr>
        <rFont val="Noto Sans"/>
        <color theme="1"/>
        <sz val="10.0"/>
      </rPr>
      <t xml:space="preserve">I-16 · </t>
    </r>
    <r>
      <rPr>
        <rFont val="Noto Sans CJK SC"/>
        <color theme="1"/>
        <sz val="10.0"/>
      </rPr>
      <t>좌석이탈</t>
    </r>
    <r>
      <rPr>
        <rFont val="Noto Sans"/>
        <color theme="1"/>
        <sz val="10.0"/>
      </rPr>
      <t xml:space="preserve">(F-4.11-8), D-2 </t>
    </r>
    <r>
      <rPr>
        <rFont val="Noto Sans CJK SC"/>
        <color theme="1"/>
        <sz val="10.0"/>
      </rPr>
      <t>연계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</si>
  <si>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</si>
  <si>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신상기록부 </t>
    </r>
    <r>
      <rPr>
        <rFont val="Noto Sans"/>
        <color theme="1"/>
        <sz val="10.0"/>
      </rPr>
      <t>4</t>
    </r>
    <r>
      <rPr>
        <rFont val="Noto Sans CJK SC"/>
        <color theme="1"/>
        <sz val="10.0"/>
      </rPr>
      <t>종 양식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항목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학년별 폼 분기</t>
    </r>
    <r>
      <rPr>
        <rFont val="Noto Sans"/>
        <color theme="1"/>
        <sz val="10.0"/>
      </rPr>
      <t xml:space="preserve">·PDF </t>
    </r>
    <r>
      <rPr>
        <rFont val="Noto Sans CJK SC"/>
        <color theme="1"/>
        <sz val="10.0"/>
      </rPr>
      <t>양식 확정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입학 필수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회원가입 강제 단계</t>
    </r>
    <r>
      <rPr>
        <rFont val="Noto Sans"/>
        <color theme="1"/>
        <sz val="10.0"/>
      </rPr>
      <t>)</t>
    </r>
  </si>
  <si>
    <r>
      <rPr>
        <rFont val="Noto Sans"/>
        <color theme="1"/>
        <sz val="10.0"/>
      </rPr>
      <t xml:space="preserve">I-17 · </t>
    </r>
    <r>
      <rPr>
        <rFont val="Noto Sans CJK SC"/>
        <color theme="1"/>
        <sz val="10.0"/>
      </rPr>
      <t>신상기록부</t>
    </r>
    <r>
      <rPr>
        <rFont val="Noto Sans"/>
        <color theme="1"/>
        <sz val="10.0"/>
      </rPr>
      <t>(F-4.11-9)·</t>
    </r>
    <r>
      <rPr>
        <rFont val="Noto Sans CJK SC"/>
        <color theme="1"/>
        <sz val="10.0"/>
      </rPr>
      <t>회원가입 온보딩 착수 전 필수</t>
    </r>
  </si>
  <si>
    <r>
      <rPr>
        <rFont val="Noto Sans CJK SC"/>
        <color theme="1"/>
        <sz val="10.0"/>
      </rPr>
      <t>급식 식사체크 방식 — 관리자용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키오스크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소형 패드</t>
    </r>
    <r>
      <rPr>
        <rFont val="Noto Sans"/>
        <color theme="1"/>
        <sz val="10.0"/>
      </rPr>
      <t xml:space="preserve">), </t>
    </r>
    <r>
      <rPr>
        <rFont val="Noto Sans CJK SC"/>
        <color theme="1"/>
        <sz val="10.0"/>
      </rPr>
      <t>안면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지문 생체인식 채택 여부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채택 시 개인정보</t>
    </r>
    <r>
      <rPr>
        <rFont val="Noto Sans"/>
        <color theme="1"/>
        <sz val="10.0"/>
      </rPr>
      <t xml:space="preserve">/ISMS </t>
    </r>
    <r>
      <rPr>
        <rFont val="Noto Sans CJK SC"/>
        <color theme="1"/>
        <sz val="10.0"/>
      </rPr>
      <t>검토 필수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</si>
  <si>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개발팀</t>
    </r>
  </si>
  <si>
    <r>
      <rPr>
        <rFont val="Noto Sans"/>
        <color theme="1"/>
        <sz val="10.0"/>
      </rPr>
      <t xml:space="preserve">I-18 · </t>
    </r>
    <r>
      <rPr>
        <rFont val="Noto Sans CJK SC"/>
        <color theme="1"/>
        <sz val="10.0"/>
      </rPr>
      <t>급식</t>
    </r>
    <r>
      <rPr>
        <rFont val="Noto Sans"/>
        <color theme="1"/>
        <sz val="10.0"/>
      </rPr>
      <t>(F-4.5)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</si>
  <si>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</si>
  <si>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 xml:space="preserve">학습계획 이행 표시 방식 — </t>
    </r>
    <r>
      <rPr>
        <rFont val="Noto Sans"/>
        <color theme="1"/>
        <sz val="10.0"/>
      </rPr>
      <t>%+</t>
    </r>
    <r>
      <rPr>
        <rFont val="Noto Sans CJK SC"/>
        <color theme="1"/>
        <sz val="10.0"/>
      </rPr>
      <t xml:space="preserve">드래그 </t>
    </r>
    <r>
      <rPr>
        <rFont val="Noto Sans"/>
        <color theme="1"/>
        <sz val="10.0"/>
      </rPr>
      <t>/ ○△</t>
    </r>
    <r>
      <rPr>
        <rFont val="Noto Sans CJK SC"/>
        <color theme="1"/>
        <sz val="10.0"/>
      </rPr>
      <t xml:space="preserve">빈칸 </t>
    </r>
    <r>
      <rPr>
        <rFont val="Noto Sans"/>
        <color theme="1"/>
        <sz val="10.0"/>
      </rPr>
      <t>3</t>
    </r>
    <r>
      <rPr>
        <rFont val="Noto Sans CJK SC"/>
        <color theme="1"/>
        <sz val="10.0"/>
      </rPr>
      <t>단계 중 확정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상담 별점과의 층위 정리</t>
    </r>
  </si>
  <si>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개발팀</t>
    </r>
  </si>
  <si>
    <r>
      <rPr>
        <rFont val="Noto Sans"/>
        <color theme="1"/>
        <sz val="10.0"/>
      </rPr>
      <t xml:space="preserve">I-19 · </t>
    </r>
    <r>
      <rPr>
        <rFont val="Noto Sans CJK SC"/>
        <color theme="1"/>
        <sz val="10.0"/>
      </rPr>
      <t>학습계획</t>
    </r>
    <r>
      <rPr>
        <rFont val="Noto Sans"/>
        <color theme="1"/>
        <sz val="10.0"/>
      </rPr>
      <t>(F-4.11-2)·</t>
    </r>
    <r>
      <rPr>
        <rFont val="Noto Sans CJK SC"/>
        <color theme="1"/>
        <sz val="10.0"/>
      </rPr>
      <t>상담</t>
    </r>
    <r>
      <rPr>
        <rFont val="Noto Sans"/>
        <color theme="1"/>
        <sz val="10.0"/>
      </rPr>
      <t>(F-4.11-4)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</si>
  <si>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</si>
  <si>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승인 타임아웃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에스컬레이션 — 부모 미응답 응답시간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입학 시 승인자 사전지정 가능 여부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클라이언트 미확약</t>
    </r>
    <r>
      <rPr>
        <rFont val="Noto Sans"/>
        <color theme="1"/>
        <sz val="10.0"/>
      </rPr>
      <t xml:space="preserve">, </t>
    </r>
    <r>
      <rPr>
        <rFont val="Noto Sans CJK SC"/>
        <color theme="1"/>
        <sz val="10.0"/>
      </rPr>
      <t>개발팀 회신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</si>
  <si>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개발팀</t>
    </r>
  </si>
  <si>
    <r>
      <rPr>
        <rFont val="Noto Sans"/>
        <color theme="1"/>
        <sz val="10.0"/>
      </rPr>
      <t xml:space="preserve">I-20 · </t>
    </r>
    <r>
      <rPr>
        <rFont val="Noto Sans CJK SC"/>
        <color theme="1"/>
        <sz val="10.0"/>
      </rPr>
      <t>승인</t>
    </r>
    <r>
      <rPr>
        <rFont val="Noto Sans"/>
        <color theme="1"/>
        <sz val="10.0"/>
      </rPr>
      <t xml:space="preserve">(F-4.11-5), I-12 </t>
    </r>
    <r>
      <rPr>
        <rFont val="Noto Sans CJK SC"/>
        <color theme="1"/>
        <sz val="10.0"/>
      </rPr>
      <t>확장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</si>
  <si>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</si>
  <si>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연간 행사 마스터 — 입력 주체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행사 유형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학습계획 반영 규칙</t>
    </r>
  </si>
  <si>
    <r>
      <rPr>
        <rFont val="Noto Sans"/>
        <color theme="1"/>
        <sz val="10.0"/>
      </rPr>
      <t xml:space="preserve">I-21 · </t>
    </r>
    <r>
      <rPr>
        <rFont val="Noto Sans CJK SC"/>
        <color theme="1"/>
        <sz val="10.0"/>
      </rPr>
      <t>연간행사</t>
    </r>
    <r>
      <rPr>
        <rFont val="Noto Sans"/>
        <color theme="1"/>
        <sz val="10.0"/>
      </rPr>
      <t>(F-4.11-10)</t>
    </r>
  </si>
  <si>
    <r>
      <rPr>
        <rFont val="Noto Sans CJK SC"/>
        <color theme="1"/>
        <sz val="10.0"/>
      </rPr>
      <t>내부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운영팀</t>
    </r>
    <r>
      <rPr>
        <rFont val="Noto Sans"/>
        <color theme="1"/>
        <sz val="10.0"/>
      </rPr>
      <t>)</t>
    </r>
  </si>
  <si>
    <r>
      <rPr>
        <rFont val="Noto Sans CJK SC"/>
        <color theme="1"/>
        <sz val="10.0"/>
      </rPr>
      <t>계열 명칭</t>
    </r>
    <r>
      <rPr>
        <rFont val="Noto Sans"/>
        <color theme="1"/>
        <sz val="10.0"/>
      </rPr>
      <t>·</t>
    </r>
    <r>
      <rPr>
        <rFont val="Noto Sans CJK SC"/>
        <color theme="1"/>
        <sz val="10.0"/>
      </rPr>
      <t>순서 표준</t>
    </r>
    <r>
      <rPr>
        <rFont val="Noto Sans"/>
        <color theme="1"/>
        <sz val="10.0"/>
      </rPr>
      <t>(</t>
    </r>
    <r>
      <rPr>
        <rFont val="Noto Sans CJK SC"/>
        <color theme="1"/>
        <sz val="10.0"/>
      </rPr>
      <t>마스터</t>
    </r>
    <r>
      <rPr>
        <rFont val="Noto Sans"/>
        <color theme="1"/>
        <sz val="10.0"/>
      </rPr>
      <t xml:space="preserve">) — </t>
    </r>
    <r>
      <rPr>
        <rFont val="Noto Sans CJK SC"/>
        <color theme="1"/>
        <sz val="10.0"/>
      </rPr>
      <t xml:space="preserve">메디컬 등 </t>
    </r>
    <r>
      <rPr>
        <rFont val="Noto Sans"/>
        <color theme="1"/>
        <sz val="10.0"/>
      </rPr>
      <t>5</t>
    </r>
    <r>
      <rPr>
        <rFont val="Noto Sans CJK SC"/>
        <color theme="1"/>
        <sz val="10.0"/>
      </rPr>
      <t>분류</t>
    </r>
  </si>
  <si>
    <r>
      <rPr>
        <rFont val="Noto Sans"/>
        <color theme="1"/>
        <sz val="10.0"/>
      </rPr>
      <t xml:space="preserve">I-22 · </t>
    </r>
    <r>
      <rPr>
        <rFont val="Noto Sans CJK SC"/>
        <color theme="1"/>
        <sz val="10.0"/>
      </rPr>
      <t>실적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신상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목표 공통</t>
    </r>
  </si>
  <si>
    <t>■ 우선순위별 집계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</si>
</sst>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F4E78"/>
      <name val="Noto Sans"/>
    </font>
    <font>
      <b/>
      <color rgb="FFFFFFFF"/>
      <name val="Arial"/>
    </font>
    <font>
      <b/>
      <sz val="13.0"/>
      <color rgb="FF2E75B6"/>
      <name val="Noto Sans"/>
    </font>
    <font>
      <b/>
      <color rgb="FFFFFFFF"/>
      <name val="Noto Sans"/>
    </font>
    <font>
      <b/>
      <sz val="10.0"/>
      <color theme="1"/>
      <name val="Noto Sans"/>
    </font>
    <font>
      <sz val="10.0"/>
      <color theme="1"/>
      <name val="Noto Sans"/>
    </font>
    <font>
      <b/>
      <sz val="12.0"/>
      <color rgb="FFFFFFFF"/>
      <name val="Noto Sans"/>
    </font>
    <font/>
    <font>
      <color rgb="FF555555"/>
      <name val="Noto Sans"/>
    </font>
    <font>
      <color theme="1"/>
      <name val="Noto Sans"/>
    </font>
    <font>
      <b/>
      <sz val="9.0"/>
      <color theme="1"/>
      <name val="Noto Sans"/>
    </font>
    <font>
      <b/>
      <sz val="10.0"/>
      <color rgb="FFFFFFFF"/>
      <name val="Noto Sans"/>
    </font>
    <font>
      <b/>
      <color theme="1"/>
      <name val="Noto Sans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2828"/>
        <bgColor rgb="FFC62828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top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3" fontId="8" numFmtId="0" xfId="0" applyAlignment="1" applyBorder="1" applyFill="1" applyFont="1">
      <alignment shrinkToFit="0" vertical="bottom" wrapText="0"/>
    </xf>
    <xf borderId="3" fillId="0" fontId="9" numFmtId="0" xfId="0" applyBorder="1" applyFont="1"/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shrinkToFit="0" vertical="top" wrapText="1"/>
    </xf>
    <xf borderId="1" fillId="4" fontId="12" numFmtId="0" xfId="0" applyAlignment="1" applyBorder="1" applyFill="1" applyFont="1">
      <alignment horizontal="center" shrinkToFit="0" wrapText="1"/>
    </xf>
    <xf borderId="2" fillId="5" fontId="8" numFmtId="0" xfId="0" applyAlignment="1" applyBorder="1" applyFill="1" applyFont="1">
      <alignment shrinkToFit="0" vertical="bottom" wrapText="0"/>
    </xf>
    <xf borderId="4" fillId="2" fontId="13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top" wrapText="1"/>
    </xf>
    <xf borderId="2" fillId="5" fontId="8" numFmtId="0" xfId="0" applyAlignment="1" applyBorder="1" applyFont="1">
      <alignment vertical="bottom"/>
    </xf>
    <xf borderId="5" fillId="0" fontId="9" numFmtId="0" xfId="0" applyBorder="1" applyFont="1"/>
    <xf borderId="1" fillId="6" fontId="12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shrinkToFit="0" vertical="top" wrapText="1"/>
    </xf>
    <xf borderId="1" fillId="7" fontId="12" numFmtId="0" xfId="0" applyAlignment="1" applyBorder="1" applyFill="1" applyFont="1">
      <alignment horizontal="center" shrinkToFit="0" wrapText="1"/>
    </xf>
    <xf borderId="1" fillId="2" fontId="1" numFmtId="0" xfId="0" applyBorder="1" applyFont="1"/>
    <xf borderId="1" fillId="0" fontId="1" numFmtId="0" xfId="0" applyAlignment="1" applyBorder="1" applyFont="1">
      <alignment vertical="top"/>
    </xf>
    <xf borderId="0" fillId="0" fontId="10" numFmtId="0" xfId="0" applyAlignment="1" applyFont="1">
      <alignment shrinkToFit="0" vertical="top" wrapText="1"/>
    </xf>
    <xf borderId="1" fillId="7" fontId="14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1" fillId="6" fontId="14" numFmtId="0" xfId="0" applyAlignment="1" applyBorder="1" applyFont="1">
      <alignment horizontal="center" shrinkToFit="0" wrapText="1"/>
    </xf>
    <xf borderId="1" fillId="8" fontId="14" numFmtId="0" xfId="0" applyAlignment="1" applyBorder="1" applyFill="1" applyFont="1">
      <alignment horizontal="center" shrinkToFit="0" wrapText="1"/>
    </xf>
    <xf borderId="1" fillId="4" fontId="1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90.0"/>
    <col customWidth="1" min="4" max="4" width="4.0"/>
    <col customWidth="1" min="5" max="26" width="8.71"/>
  </cols>
  <sheetData>
    <row r="1" ht="30.0" customHeight="1">
      <c r="A1" s="1"/>
      <c r="B1" s="2" t="s">
        <v>2</v>
      </c>
      <c r="C1" s="1"/>
      <c r="D1" s="1"/>
    </row>
    <row r="2" ht="19.5" customHeight="1">
      <c r="A2" s="1"/>
      <c r="B2" s="4" t="s">
        <v>4</v>
      </c>
      <c r="C2" s="1"/>
      <c r="D2" s="1"/>
    </row>
    <row r="3">
      <c r="A3" s="1"/>
      <c r="B3" s="1"/>
      <c r="C3" s="1"/>
      <c r="D3" s="1"/>
    </row>
    <row r="4" ht="33.75" customHeight="1">
      <c r="A4" s="1"/>
      <c r="B4" s="6" t="s">
        <v>6</v>
      </c>
      <c r="C4" s="7" t="s">
        <v>7</v>
      </c>
      <c r="D4" s="1"/>
    </row>
    <row r="5" ht="33.75" customHeight="1">
      <c r="A5" s="1"/>
      <c r="B5" s="6" t="s">
        <v>8</v>
      </c>
      <c r="C5" s="7" t="s">
        <v>10</v>
      </c>
      <c r="D5" s="1"/>
    </row>
    <row r="6" ht="33.75" customHeight="1">
      <c r="A6" s="1"/>
      <c r="B6" s="6" t="s">
        <v>12</v>
      </c>
      <c r="C6" s="7" t="s">
        <v>13</v>
      </c>
      <c r="D6" s="1"/>
    </row>
    <row r="7" ht="33.75" customHeight="1">
      <c r="A7" s="1"/>
      <c r="B7" s="6" t="s">
        <v>16</v>
      </c>
      <c r="C7" s="7" t="s">
        <v>17</v>
      </c>
      <c r="D7" s="1"/>
    </row>
    <row r="8" ht="33.75" customHeight="1">
      <c r="A8" s="1"/>
      <c r="B8" s="6" t="s">
        <v>20</v>
      </c>
      <c r="C8" s="7" t="s">
        <v>21</v>
      </c>
      <c r="D8" s="1"/>
    </row>
    <row r="9" ht="33.75" customHeight="1">
      <c r="A9" s="1"/>
      <c r="B9" s="6" t="s">
        <v>24</v>
      </c>
      <c r="C9" s="7" t="s">
        <v>26</v>
      </c>
      <c r="D9" s="1"/>
    </row>
    <row r="10">
      <c r="A10" s="1"/>
      <c r="B10" s="1"/>
      <c r="C10" s="1"/>
      <c r="D10" s="1"/>
    </row>
    <row r="11" ht="21.75" customHeight="1">
      <c r="A11" s="1"/>
      <c r="B11" s="11" t="s">
        <v>31</v>
      </c>
      <c r="C11" s="12"/>
      <c r="D11" s="1"/>
    </row>
    <row r="12" ht="90.0" customHeight="1">
      <c r="A12" s="1"/>
      <c r="B12" s="7" t="s">
        <v>36</v>
      </c>
      <c r="D12" s="1"/>
    </row>
    <row r="13">
      <c r="A13" s="1"/>
      <c r="B13" s="1"/>
      <c r="C13" s="1"/>
      <c r="D13" s="1"/>
    </row>
    <row r="14" ht="21.75" customHeight="1">
      <c r="A14" s="1"/>
      <c r="B14" s="16" t="s">
        <v>40</v>
      </c>
      <c r="C14" s="12"/>
      <c r="D14" s="1"/>
    </row>
    <row r="15" ht="19.5" customHeight="1">
      <c r="A15" s="1"/>
      <c r="B15" s="17" t="s">
        <v>45</v>
      </c>
      <c r="C15" s="17" t="s">
        <v>47</v>
      </c>
      <c r="D15" s="1"/>
    </row>
    <row r="16" ht="69.75" customHeight="1">
      <c r="A16" s="1"/>
      <c r="B16" s="18" t="s">
        <v>49</v>
      </c>
      <c r="C16" s="7" t="s">
        <v>50</v>
      </c>
      <c r="D16" s="1"/>
    </row>
    <row r="17" ht="69.75" customHeight="1">
      <c r="A17" s="1"/>
      <c r="B17" s="18" t="s">
        <v>55</v>
      </c>
      <c r="C17" s="7" t="s">
        <v>56</v>
      </c>
      <c r="D17" s="1"/>
    </row>
    <row r="18" ht="69.75" customHeight="1">
      <c r="A18" s="1"/>
      <c r="B18" s="18" t="s">
        <v>60</v>
      </c>
      <c r="C18" s="7" t="s">
        <v>61</v>
      </c>
      <c r="D18" s="1"/>
    </row>
    <row r="19">
      <c r="A19" s="1"/>
      <c r="B19" s="1"/>
      <c r="C19" s="1"/>
      <c r="D19" s="1"/>
    </row>
    <row r="20" ht="21.75" customHeight="1">
      <c r="A20" s="1"/>
      <c r="B20" s="16" t="s">
        <v>67</v>
      </c>
      <c r="C20" s="12"/>
      <c r="D20" s="1"/>
    </row>
    <row r="21" ht="33.75" customHeight="1">
      <c r="A21" s="1"/>
      <c r="B21" s="7" t="s">
        <v>68</v>
      </c>
      <c r="D21" s="1"/>
    </row>
    <row r="22" ht="33.75" customHeight="1">
      <c r="A22" s="1"/>
      <c r="B22" s="7" t="s">
        <v>72</v>
      </c>
      <c r="D22" s="1"/>
    </row>
    <row r="23" ht="33.75" customHeight="1">
      <c r="A23" s="1"/>
      <c r="B23" s="7" t="s">
        <v>77</v>
      </c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7">
    <mergeCell ref="B11:C11"/>
    <mergeCell ref="B12:C12"/>
    <mergeCell ref="B14:C14"/>
    <mergeCell ref="B20:C20"/>
    <mergeCell ref="B21:C21"/>
    <mergeCell ref="B22:C22"/>
    <mergeCell ref="B23:C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3" width="16.0"/>
    <col customWidth="1" min="4" max="4" width="26.0"/>
    <col customWidth="1" min="5" max="5" width="15.0"/>
    <col customWidth="1" min="6" max="6" width="34.0"/>
    <col customWidth="1" min="7" max="7" width="40.0"/>
    <col customWidth="1" min="8" max="8" width="22.0"/>
    <col customWidth="1" min="9" max="9" width="24.0"/>
    <col customWidth="1" min="10" max="10" width="42.0"/>
    <col customWidth="1" min="11" max="11" width="12.0"/>
    <col customWidth="1" min="12" max="26" width="8.71"/>
  </cols>
  <sheetData>
    <row r="1" ht="25.5" customHeight="1">
      <c r="A1" s="3" t="s">
        <v>0</v>
      </c>
      <c r="B1" s="5" t="s">
        <v>5</v>
      </c>
      <c r="C1" s="5" t="s">
        <v>11</v>
      </c>
      <c r="D1" s="5" t="s">
        <v>14</v>
      </c>
      <c r="E1" s="5" t="s">
        <v>18</v>
      </c>
      <c r="F1" s="5" t="s">
        <v>23</v>
      </c>
      <c r="G1" s="5" t="s">
        <v>27</v>
      </c>
      <c r="H1" s="5" t="s">
        <v>29</v>
      </c>
      <c r="I1" s="5" t="s">
        <v>30</v>
      </c>
      <c r="J1" s="3" t="s">
        <v>32</v>
      </c>
      <c r="K1" s="5" t="s">
        <v>33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94.5" customHeight="1">
      <c r="A2" s="14">
        <v>1.0</v>
      </c>
      <c r="B2" s="14" t="s">
        <v>43</v>
      </c>
      <c r="C2" s="14" t="s">
        <v>46</v>
      </c>
      <c r="D2" s="14" t="s">
        <v>48</v>
      </c>
      <c r="E2" s="15" t="s">
        <v>51</v>
      </c>
      <c r="F2" s="14" t="s">
        <v>58</v>
      </c>
      <c r="G2" s="14" t="s">
        <v>63</v>
      </c>
      <c r="H2" s="14" t="s">
        <v>66</v>
      </c>
      <c r="I2" s="14" t="s">
        <v>44</v>
      </c>
      <c r="J2" s="14" t="s">
        <v>69</v>
      </c>
      <c r="K2" s="14" t="s">
        <v>44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94.5" customHeight="1">
      <c r="A3" s="14">
        <v>2.0</v>
      </c>
      <c r="B3" s="14" t="s">
        <v>83</v>
      </c>
      <c r="C3" s="14" t="s">
        <v>84</v>
      </c>
      <c r="D3" s="14" t="s">
        <v>54</v>
      </c>
      <c r="E3" s="21" t="s">
        <v>88</v>
      </c>
      <c r="F3" s="22" t="s">
        <v>97</v>
      </c>
      <c r="G3" s="14" t="s">
        <v>98</v>
      </c>
      <c r="H3" s="14" t="s">
        <v>101</v>
      </c>
      <c r="I3" s="14" t="s">
        <v>44</v>
      </c>
      <c r="J3" s="14" t="s">
        <v>110</v>
      </c>
      <c r="K3" s="14" t="s">
        <v>65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94.5" customHeight="1">
      <c r="A4" s="14">
        <v>3.0</v>
      </c>
      <c r="B4" s="14" t="s">
        <v>118</v>
      </c>
      <c r="C4" s="14" t="s">
        <v>120</v>
      </c>
      <c r="D4" s="14" t="s">
        <v>122</v>
      </c>
      <c r="E4" s="15" t="s">
        <v>123</v>
      </c>
      <c r="F4" s="14" t="s">
        <v>125</v>
      </c>
      <c r="G4" s="14" t="s">
        <v>127</v>
      </c>
      <c r="H4" s="14" t="s">
        <v>66</v>
      </c>
      <c r="I4" s="14" t="s">
        <v>44</v>
      </c>
      <c r="J4" s="14" t="s">
        <v>136</v>
      </c>
      <c r="K4" s="14" t="s">
        <v>44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94.5" customHeight="1">
      <c r="A5" s="14">
        <v>4.0</v>
      </c>
      <c r="B5" s="14" t="s">
        <v>143</v>
      </c>
      <c r="C5" s="14" t="s">
        <v>147</v>
      </c>
      <c r="D5" s="14" t="s">
        <v>149</v>
      </c>
      <c r="E5" s="15" t="s">
        <v>151</v>
      </c>
      <c r="F5" s="14" t="s">
        <v>152</v>
      </c>
      <c r="G5" s="14" t="s">
        <v>154</v>
      </c>
      <c r="H5" s="14" t="s">
        <v>157</v>
      </c>
      <c r="I5" s="14" t="s">
        <v>44</v>
      </c>
      <c r="J5" s="14" t="s">
        <v>162</v>
      </c>
      <c r="K5" s="14" t="s">
        <v>44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94.5" customHeight="1">
      <c r="A6" s="14">
        <v>5.0</v>
      </c>
      <c r="B6" s="14" t="s">
        <v>171</v>
      </c>
      <c r="C6" s="14" t="s">
        <v>174</v>
      </c>
      <c r="D6" s="14" t="s">
        <v>104</v>
      </c>
      <c r="E6" s="21" t="s">
        <v>181</v>
      </c>
      <c r="F6" s="14" t="s">
        <v>185</v>
      </c>
      <c r="G6" s="14" t="s">
        <v>187</v>
      </c>
      <c r="H6" s="14" t="s">
        <v>191</v>
      </c>
      <c r="I6" s="14" t="s">
        <v>44</v>
      </c>
      <c r="J6" s="14" t="s">
        <v>194</v>
      </c>
      <c r="K6" s="14" t="s">
        <v>112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94.5" customHeight="1">
      <c r="A7" s="14">
        <v>6.0</v>
      </c>
      <c r="B7" s="14" t="s">
        <v>209</v>
      </c>
      <c r="C7" s="14" t="s">
        <v>212</v>
      </c>
      <c r="D7" s="14" t="s">
        <v>85</v>
      </c>
      <c r="E7" s="23" t="s">
        <v>216</v>
      </c>
      <c r="F7" s="14" t="s">
        <v>223</v>
      </c>
      <c r="G7" s="14" t="s">
        <v>226</v>
      </c>
      <c r="H7" s="14" t="s">
        <v>227</v>
      </c>
      <c r="I7" s="14" t="s">
        <v>44</v>
      </c>
      <c r="J7" s="14" t="s">
        <v>233</v>
      </c>
      <c r="K7" s="14" t="s">
        <v>133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94.5" customHeight="1">
      <c r="A8" s="14">
        <v>7.0</v>
      </c>
      <c r="B8" s="14" t="s">
        <v>244</v>
      </c>
      <c r="C8" s="14" t="s">
        <v>246</v>
      </c>
      <c r="D8" s="14" t="s">
        <v>99</v>
      </c>
      <c r="E8" s="21" t="s">
        <v>250</v>
      </c>
      <c r="F8" s="14" t="s">
        <v>256</v>
      </c>
      <c r="G8" s="14" t="s">
        <v>257</v>
      </c>
      <c r="H8" s="14" t="s">
        <v>260</v>
      </c>
      <c r="I8" s="14" t="s">
        <v>44</v>
      </c>
      <c r="J8" s="14" t="s">
        <v>265</v>
      </c>
      <c r="K8" s="14" t="s">
        <v>146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94.5" customHeight="1">
      <c r="A9" s="14">
        <v>8.0</v>
      </c>
      <c r="B9" s="14" t="s">
        <v>274</v>
      </c>
      <c r="C9" s="14" t="s">
        <v>275</v>
      </c>
      <c r="D9" s="14" t="s">
        <v>285</v>
      </c>
      <c r="E9" s="21" t="s">
        <v>288</v>
      </c>
      <c r="F9" s="14" t="s">
        <v>290</v>
      </c>
      <c r="G9" s="14" t="s">
        <v>292</v>
      </c>
      <c r="H9" s="14" t="s">
        <v>295</v>
      </c>
      <c r="I9" s="14" t="s">
        <v>44</v>
      </c>
      <c r="J9" s="14" t="s">
        <v>301</v>
      </c>
      <c r="K9" s="14" t="s">
        <v>161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94.5" customHeight="1">
      <c r="A10" s="14">
        <v>9.0</v>
      </c>
      <c r="B10" s="14" t="s">
        <v>312</v>
      </c>
      <c r="C10" s="14" t="s">
        <v>314</v>
      </c>
      <c r="D10" s="14" t="s">
        <v>316</v>
      </c>
      <c r="E10" s="23" t="s">
        <v>318</v>
      </c>
      <c r="F10" s="14" t="s">
        <v>324</v>
      </c>
      <c r="G10" s="14" t="s">
        <v>333</v>
      </c>
      <c r="H10" s="14" t="s">
        <v>335</v>
      </c>
      <c r="I10" s="14" t="s">
        <v>44</v>
      </c>
      <c r="J10" s="14" t="s">
        <v>336</v>
      </c>
      <c r="K10" s="14" t="s">
        <v>339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94.5" customHeight="1">
      <c r="A11" s="14">
        <v>10.0</v>
      </c>
      <c r="B11" s="14" t="s">
        <v>345</v>
      </c>
      <c r="C11" s="14" t="s">
        <v>346</v>
      </c>
      <c r="D11" s="14" t="s">
        <v>347</v>
      </c>
      <c r="E11" s="23" t="s">
        <v>348</v>
      </c>
      <c r="F11" s="14" t="s">
        <v>352</v>
      </c>
      <c r="G11" s="14" t="s">
        <v>354</v>
      </c>
      <c r="H11" s="14" t="s">
        <v>355</v>
      </c>
      <c r="I11" s="14" t="s">
        <v>44</v>
      </c>
      <c r="J11" s="14" t="s">
        <v>358</v>
      </c>
      <c r="K11" s="14" t="s">
        <v>182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94.5" customHeight="1">
      <c r="A12" s="14">
        <v>11.0</v>
      </c>
      <c r="B12" s="14" t="s">
        <v>363</v>
      </c>
      <c r="C12" s="14" t="s">
        <v>365</v>
      </c>
      <c r="D12" s="14" t="s">
        <v>367</v>
      </c>
      <c r="E12" s="23" t="s">
        <v>369</v>
      </c>
      <c r="F12" s="14" t="s">
        <v>371</v>
      </c>
      <c r="G12" s="14" t="s">
        <v>372</v>
      </c>
      <c r="H12" s="14" t="s">
        <v>373</v>
      </c>
      <c r="I12" s="14" t="s">
        <v>44</v>
      </c>
      <c r="J12" s="14" t="s">
        <v>374</v>
      </c>
      <c r="K12" s="14" t="s">
        <v>44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94.5" customHeight="1">
      <c r="A13" s="14">
        <v>12.0</v>
      </c>
      <c r="B13" s="14" t="s">
        <v>376</v>
      </c>
      <c r="C13" s="14" t="s">
        <v>377</v>
      </c>
      <c r="D13" s="14" t="s">
        <v>195</v>
      </c>
      <c r="E13" s="21" t="s">
        <v>378</v>
      </c>
      <c r="F13" s="14" t="s">
        <v>379</v>
      </c>
      <c r="G13" s="14" t="s">
        <v>382</v>
      </c>
      <c r="H13" s="14" t="s">
        <v>44</v>
      </c>
      <c r="I13" s="14" t="s">
        <v>44</v>
      </c>
      <c r="J13" s="14" t="s">
        <v>384</v>
      </c>
      <c r="K13" s="14" t="s">
        <v>44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94.5" customHeight="1">
      <c r="A14" s="14">
        <v>13.0</v>
      </c>
      <c r="B14" s="14" t="s">
        <v>390</v>
      </c>
      <c r="C14" s="14" t="s">
        <v>391</v>
      </c>
      <c r="D14" s="14" t="s">
        <v>205</v>
      </c>
      <c r="E14" s="21" t="s">
        <v>393</v>
      </c>
      <c r="F14" s="14" t="s">
        <v>396</v>
      </c>
      <c r="G14" s="14" t="s">
        <v>399</v>
      </c>
      <c r="H14" s="14" t="s">
        <v>400</v>
      </c>
      <c r="I14" s="14" t="s">
        <v>44</v>
      </c>
      <c r="J14" s="14" t="s">
        <v>403</v>
      </c>
      <c r="K14" s="14" t="s">
        <v>211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94.5" customHeight="1">
      <c r="A15" s="14">
        <v>14.0</v>
      </c>
      <c r="B15" s="14" t="s">
        <v>407</v>
      </c>
      <c r="C15" s="14" t="s">
        <v>409</v>
      </c>
      <c r="D15" s="14" t="s">
        <v>411</v>
      </c>
      <c r="E15" s="21" t="s">
        <v>413</v>
      </c>
      <c r="F15" s="14" t="s">
        <v>416</v>
      </c>
      <c r="G15" s="14" t="s">
        <v>418</v>
      </c>
      <c r="H15" s="14" t="s">
        <v>44</v>
      </c>
      <c r="I15" s="14" t="s">
        <v>44</v>
      </c>
      <c r="J15" s="14" t="s">
        <v>422</v>
      </c>
      <c r="K15" s="14" t="s">
        <v>225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94.5" customHeight="1">
      <c r="A16" s="14">
        <v>15.0</v>
      </c>
      <c r="B16" s="14" t="s">
        <v>428</v>
      </c>
      <c r="C16" s="14" t="s">
        <v>429</v>
      </c>
      <c r="D16" s="14" t="s">
        <v>430</v>
      </c>
      <c r="E16" s="15" t="s">
        <v>431</v>
      </c>
      <c r="F16" s="14" t="s">
        <v>434</v>
      </c>
      <c r="G16" s="14" t="s">
        <v>437</v>
      </c>
      <c r="H16" s="14" t="s">
        <v>438</v>
      </c>
      <c r="I16" s="14" t="s">
        <v>44</v>
      </c>
      <c r="J16" s="14" t="s">
        <v>439</v>
      </c>
      <c r="K16" s="14" t="s">
        <v>44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94.5" customHeight="1">
      <c r="A17" s="14">
        <v>16.0</v>
      </c>
      <c r="B17" s="14" t="s">
        <v>441</v>
      </c>
      <c r="C17" s="14" t="s">
        <v>442</v>
      </c>
      <c r="D17" s="14" t="s">
        <v>240</v>
      </c>
      <c r="E17" s="15" t="s">
        <v>443</v>
      </c>
      <c r="F17" s="14" t="s">
        <v>444</v>
      </c>
      <c r="G17" s="14" t="s">
        <v>446</v>
      </c>
      <c r="H17" s="14" t="s">
        <v>447</v>
      </c>
      <c r="I17" s="14" t="s">
        <v>44</v>
      </c>
      <c r="J17" s="14" t="s">
        <v>449</v>
      </c>
      <c r="K17" s="14" t="s">
        <v>44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94.5" customHeight="1">
      <c r="A18" s="14">
        <v>17.0</v>
      </c>
      <c r="B18" s="14" t="s">
        <v>453</v>
      </c>
      <c r="C18" s="14" t="s">
        <v>455</v>
      </c>
      <c r="D18" s="14" t="s">
        <v>456</v>
      </c>
      <c r="E18" s="15" t="s">
        <v>457</v>
      </c>
      <c r="F18" s="14" t="s">
        <v>458</v>
      </c>
      <c r="G18" s="14" t="s">
        <v>460</v>
      </c>
      <c r="H18" s="14" t="s">
        <v>44</v>
      </c>
      <c r="I18" s="14" t="s">
        <v>44</v>
      </c>
      <c r="J18" s="14" t="s">
        <v>464</v>
      </c>
      <c r="K18" s="14" t="s">
        <v>44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94.5" customHeight="1">
      <c r="A19" s="14">
        <v>18.0</v>
      </c>
      <c r="B19" s="14" t="s">
        <v>468</v>
      </c>
      <c r="C19" s="14" t="s">
        <v>470</v>
      </c>
      <c r="D19" s="14" t="s">
        <v>471</v>
      </c>
      <c r="E19" s="15" t="s">
        <v>472</v>
      </c>
      <c r="F19" s="14" t="s">
        <v>473</v>
      </c>
      <c r="G19" s="14" t="s">
        <v>474</v>
      </c>
      <c r="H19" s="14" t="s">
        <v>44</v>
      </c>
      <c r="I19" s="14" t="s">
        <v>44</v>
      </c>
      <c r="J19" s="14" t="s">
        <v>475</v>
      </c>
      <c r="K19" s="14" t="s">
        <v>44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94.5" customHeight="1">
      <c r="A20" s="14">
        <v>19.0</v>
      </c>
      <c r="B20" s="14" t="s">
        <v>476</v>
      </c>
      <c r="C20" s="14" t="s">
        <v>477</v>
      </c>
      <c r="D20" s="14" t="s">
        <v>478</v>
      </c>
      <c r="E20" s="15" t="s">
        <v>479</v>
      </c>
      <c r="F20" s="14" t="s">
        <v>480</v>
      </c>
      <c r="G20" s="14" t="s">
        <v>481</v>
      </c>
      <c r="H20" s="14" t="s">
        <v>400</v>
      </c>
      <c r="I20" s="14" t="s">
        <v>44</v>
      </c>
      <c r="J20" s="14" t="s">
        <v>482</v>
      </c>
      <c r="K20" s="14" t="s">
        <v>273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94.5" customHeight="1">
      <c r="A21" s="14">
        <v>20.0</v>
      </c>
      <c r="B21" s="14" t="s">
        <v>483</v>
      </c>
      <c r="C21" s="14" t="s">
        <v>484</v>
      </c>
      <c r="D21" s="14" t="s">
        <v>485</v>
      </c>
      <c r="E21" s="15" t="s">
        <v>486</v>
      </c>
      <c r="F21" s="14" t="s">
        <v>487</v>
      </c>
      <c r="G21" s="14" t="s">
        <v>488</v>
      </c>
      <c r="H21" s="14" t="s">
        <v>44</v>
      </c>
      <c r="I21" s="14" t="s">
        <v>44</v>
      </c>
      <c r="J21" s="14" t="s">
        <v>489</v>
      </c>
      <c r="K21" s="14" t="s">
        <v>490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94.5" customHeight="1">
      <c r="A22" s="14">
        <v>21.0</v>
      </c>
      <c r="B22" s="14" t="s">
        <v>491</v>
      </c>
      <c r="C22" s="14" t="s">
        <v>492</v>
      </c>
      <c r="D22" s="14" t="s">
        <v>493</v>
      </c>
      <c r="E22" s="23" t="s">
        <v>494</v>
      </c>
      <c r="F22" s="14" t="s">
        <v>495</v>
      </c>
      <c r="G22" s="14" t="s">
        <v>496</v>
      </c>
      <c r="H22" s="14" t="s">
        <v>497</v>
      </c>
      <c r="I22" s="14" t="s">
        <v>44</v>
      </c>
      <c r="J22" s="14" t="s">
        <v>498</v>
      </c>
      <c r="K22" s="14" t="s">
        <v>65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94.5" customHeight="1">
      <c r="A23" s="14">
        <v>22.0</v>
      </c>
      <c r="B23" s="14" t="s">
        <v>499</v>
      </c>
      <c r="C23" s="14" t="s">
        <v>500</v>
      </c>
      <c r="D23" s="14" t="s">
        <v>501</v>
      </c>
      <c r="E23" s="23" t="s">
        <v>502</v>
      </c>
      <c r="F23" s="14" t="s">
        <v>503</v>
      </c>
      <c r="G23" s="14" t="s">
        <v>504</v>
      </c>
      <c r="H23" s="14" t="s">
        <v>505</v>
      </c>
      <c r="I23" s="14" t="s">
        <v>44</v>
      </c>
      <c r="J23" s="14" t="s">
        <v>506</v>
      </c>
      <c r="K23" s="14" t="s">
        <v>507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94.5" customHeight="1">
      <c r="A24" s="14">
        <v>23.0</v>
      </c>
      <c r="B24" s="14" t="s">
        <v>508</v>
      </c>
      <c r="C24" s="14" t="s">
        <v>509</v>
      </c>
      <c r="D24" s="14" t="s">
        <v>510</v>
      </c>
      <c r="E24" s="23" t="s">
        <v>511</v>
      </c>
      <c r="F24" s="14" t="s">
        <v>512</v>
      </c>
      <c r="G24" s="14" t="s">
        <v>513</v>
      </c>
      <c r="H24" s="14" t="s">
        <v>514</v>
      </c>
      <c r="I24" s="14" t="s">
        <v>44</v>
      </c>
      <c r="J24" s="14" t="s">
        <v>515</v>
      </c>
      <c r="K24" s="14" t="s">
        <v>311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94.5" customHeight="1">
      <c r="A25" s="14">
        <v>24.0</v>
      </c>
      <c r="B25" s="14" t="s">
        <v>516</v>
      </c>
      <c r="C25" s="14" t="s">
        <v>517</v>
      </c>
      <c r="D25" s="14" t="s">
        <v>518</v>
      </c>
      <c r="E25" s="23" t="s">
        <v>519</v>
      </c>
      <c r="F25" s="14" t="s">
        <v>520</v>
      </c>
      <c r="G25" s="14" t="s">
        <v>521</v>
      </c>
      <c r="H25" s="14" t="s">
        <v>522</v>
      </c>
      <c r="I25" s="14" t="s">
        <v>44</v>
      </c>
      <c r="J25" s="14" t="s">
        <v>523</v>
      </c>
      <c r="K25" s="14" t="s">
        <v>524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94.5" customHeight="1">
      <c r="A26" s="14">
        <v>25.0</v>
      </c>
      <c r="B26" s="14" t="s">
        <v>525</v>
      </c>
      <c r="C26" s="14" t="s">
        <v>526</v>
      </c>
      <c r="D26" s="14" t="s">
        <v>527</v>
      </c>
      <c r="E26" s="23" t="s">
        <v>528</v>
      </c>
      <c r="F26" s="14" t="s">
        <v>529</v>
      </c>
      <c r="G26" s="14" t="s">
        <v>530</v>
      </c>
      <c r="H26" s="14" t="s">
        <v>531</v>
      </c>
      <c r="I26" s="14" t="s">
        <v>44</v>
      </c>
      <c r="J26" s="14" t="s">
        <v>532</v>
      </c>
      <c r="K26" s="14" t="s">
        <v>533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94.5" customHeight="1">
      <c r="A27" s="14">
        <v>26.0</v>
      </c>
      <c r="B27" s="14" t="s">
        <v>534</v>
      </c>
      <c r="C27" s="14" t="s">
        <v>535</v>
      </c>
      <c r="D27" s="14" t="s">
        <v>536</v>
      </c>
      <c r="E27" s="23" t="s">
        <v>537</v>
      </c>
      <c r="F27" s="14" t="s">
        <v>538</v>
      </c>
      <c r="G27" s="14" t="s">
        <v>539</v>
      </c>
      <c r="H27" s="14" t="s">
        <v>540</v>
      </c>
      <c r="I27" s="14" t="s">
        <v>44</v>
      </c>
      <c r="J27" s="14" t="s">
        <v>541</v>
      </c>
      <c r="K27" s="14" t="s">
        <v>342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94.5" customHeight="1">
      <c r="A28" s="14">
        <v>27.0</v>
      </c>
      <c r="B28" s="14" t="s">
        <v>542</v>
      </c>
      <c r="C28" s="14" t="s">
        <v>543</v>
      </c>
      <c r="D28" s="14" t="s">
        <v>544</v>
      </c>
      <c r="E28" s="23" t="s">
        <v>545</v>
      </c>
      <c r="F28" s="22" t="s">
        <v>546</v>
      </c>
      <c r="G28" s="14" t="s">
        <v>547</v>
      </c>
      <c r="H28" s="14" t="s">
        <v>548</v>
      </c>
      <c r="I28" s="14" t="s">
        <v>44</v>
      </c>
      <c r="J28" s="14" t="s">
        <v>549</v>
      </c>
      <c r="K28" s="14" t="s">
        <v>44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4">
        <v>28.0</v>
      </c>
      <c r="B29" s="14" t="s">
        <v>550</v>
      </c>
      <c r="C29" s="14" t="s">
        <v>551</v>
      </c>
      <c r="D29" s="14" t="s">
        <v>552</v>
      </c>
      <c r="E29" s="23" t="s">
        <v>553</v>
      </c>
      <c r="F29" s="14" t="s">
        <v>554</v>
      </c>
      <c r="G29" s="14" t="s">
        <v>555</v>
      </c>
      <c r="H29" s="14" t="s">
        <v>556</v>
      </c>
      <c r="I29" s="14" t="s">
        <v>557</v>
      </c>
      <c r="J29" s="14" t="s">
        <v>558</v>
      </c>
      <c r="K29" s="14" t="s">
        <v>559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4">
        <v>29.0</v>
      </c>
      <c r="B30" s="14" t="s">
        <v>560</v>
      </c>
      <c r="C30" s="14" t="s">
        <v>561</v>
      </c>
      <c r="D30" s="14" t="s">
        <v>562</v>
      </c>
      <c r="E30" s="23" t="s">
        <v>563</v>
      </c>
      <c r="F30" s="14" t="s">
        <v>564</v>
      </c>
      <c r="G30" s="14" t="s">
        <v>565</v>
      </c>
      <c r="H30" s="14" t="s">
        <v>566</v>
      </c>
      <c r="I30" s="14" t="s">
        <v>567</v>
      </c>
      <c r="J30" s="14" t="s">
        <v>568</v>
      </c>
      <c r="K30" s="14" t="s">
        <v>569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4">
        <v>30.0</v>
      </c>
      <c r="B31" s="14" t="s">
        <v>570</v>
      </c>
      <c r="C31" s="14" t="s">
        <v>571</v>
      </c>
      <c r="D31" s="14" t="s">
        <v>572</v>
      </c>
      <c r="E31" s="23" t="s">
        <v>573</v>
      </c>
      <c r="F31" s="14" t="s">
        <v>574</v>
      </c>
      <c r="G31" s="14" t="s">
        <v>575</v>
      </c>
      <c r="H31" s="14" t="s">
        <v>576</v>
      </c>
      <c r="I31" s="14" t="s">
        <v>577</v>
      </c>
      <c r="J31" s="14" t="s">
        <v>578</v>
      </c>
      <c r="K31" s="14" t="s">
        <v>579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K$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5" width="34.0"/>
    <col customWidth="1" min="6" max="26" width="8.71"/>
  </cols>
  <sheetData>
    <row r="1" ht="30.0" customHeight="1">
      <c r="A1" s="8" t="s">
        <v>3</v>
      </c>
      <c r="B1" s="9"/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3" t="s">
        <v>34</v>
      </c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1.75" customHeight="1">
      <c r="A4" s="19" t="s">
        <v>53</v>
      </c>
      <c r="B4" s="20"/>
      <c r="C4" s="20"/>
      <c r="D4" s="20"/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5" t="s">
        <v>71</v>
      </c>
      <c r="B5" s="5" t="s">
        <v>74</v>
      </c>
      <c r="C5" s="5" t="s">
        <v>75</v>
      </c>
      <c r="D5" s="5" t="s">
        <v>78</v>
      </c>
      <c r="E5" s="5" t="s">
        <v>81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8.0" customHeight="1">
      <c r="A6" s="14" t="s">
        <v>85</v>
      </c>
      <c r="B6" s="14" t="s">
        <v>87</v>
      </c>
      <c r="C6" s="14" t="s">
        <v>90</v>
      </c>
      <c r="D6" s="14" t="s">
        <v>93</v>
      </c>
      <c r="E6" s="14" t="s">
        <v>95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0" customHeight="1">
      <c r="A7" s="14" t="s">
        <v>99</v>
      </c>
      <c r="B7" s="14" t="s">
        <v>100</v>
      </c>
      <c r="C7" s="14" t="s">
        <v>103</v>
      </c>
      <c r="D7" s="14" t="s">
        <v>105</v>
      </c>
      <c r="E7" s="14" t="s">
        <v>107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8.0" customHeight="1">
      <c r="A8" s="14" t="s">
        <v>113</v>
      </c>
      <c r="B8" s="14" t="s">
        <v>114</v>
      </c>
      <c r="C8" s="14" t="s">
        <v>116</v>
      </c>
      <c r="D8" s="14" t="s">
        <v>119</v>
      </c>
      <c r="E8" s="14" t="s">
        <v>121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8.0" customHeight="1">
      <c r="A9" s="14" t="s">
        <v>128</v>
      </c>
      <c r="B9" s="14" t="s">
        <v>129</v>
      </c>
      <c r="C9" s="14" t="s">
        <v>132</v>
      </c>
      <c r="D9" s="14" t="s">
        <v>134</v>
      </c>
      <c r="E9" s="14" t="s">
        <v>135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8.0" customHeight="1">
      <c r="A10" s="14" t="s">
        <v>139</v>
      </c>
      <c r="B10" s="14" t="s">
        <v>142</v>
      </c>
      <c r="C10" s="14" t="s">
        <v>145</v>
      </c>
      <c r="D10" s="14" t="s">
        <v>148</v>
      </c>
      <c r="E10" s="14" t="s">
        <v>150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9"/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1.75" customHeight="1">
      <c r="A12" s="19" t="s">
        <v>166</v>
      </c>
      <c r="B12" s="20"/>
      <c r="C12" s="20"/>
      <c r="D12" s="20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5" t="s">
        <v>177</v>
      </c>
      <c r="B13" s="5" t="s">
        <v>180</v>
      </c>
      <c r="C13" s="5" t="s">
        <v>183</v>
      </c>
      <c r="D13" s="5" t="s">
        <v>184</v>
      </c>
      <c r="E13" s="5" t="s">
        <v>81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5.75" customHeight="1">
      <c r="A14" s="14" t="s">
        <v>192</v>
      </c>
      <c r="B14" s="14" t="s">
        <v>196</v>
      </c>
      <c r="C14" s="14" t="s">
        <v>199</v>
      </c>
      <c r="D14" s="14" t="s">
        <v>202</v>
      </c>
      <c r="E14" s="14" t="s">
        <v>203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5.75" customHeight="1">
      <c r="A15" s="14" t="s">
        <v>213</v>
      </c>
      <c r="B15" s="14" t="s">
        <v>214</v>
      </c>
      <c r="C15" s="14" t="s">
        <v>190</v>
      </c>
      <c r="D15" s="14" t="s">
        <v>218</v>
      </c>
      <c r="E15" s="14" t="s">
        <v>220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5.75" customHeight="1">
      <c r="A16" s="14" t="s">
        <v>230</v>
      </c>
      <c r="B16" s="22" t="s">
        <v>234</v>
      </c>
      <c r="C16" s="14" t="s">
        <v>236</v>
      </c>
      <c r="D16" s="14" t="s">
        <v>237</v>
      </c>
      <c r="E16" s="14" t="s">
        <v>238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5.75" customHeight="1">
      <c r="A17" s="14" t="s">
        <v>245</v>
      </c>
      <c r="B17" s="14" t="s">
        <v>247</v>
      </c>
      <c r="C17" s="14" t="s">
        <v>236</v>
      </c>
      <c r="D17" s="14" t="s">
        <v>252</v>
      </c>
      <c r="E17" s="14" t="s">
        <v>254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1.75" customHeight="1">
      <c r="A19" s="19" t="s">
        <v>266</v>
      </c>
      <c r="B19" s="20"/>
      <c r="C19" s="20"/>
      <c r="D19" s="20"/>
      <c r="E19" s="1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5" t="s">
        <v>278</v>
      </c>
      <c r="B20" s="5" t="s">
        <v>280</v>
      </c>
      <c r="C20" s="5" t="s">
        <v>282</v>
      </c>
      <c r="D20" s="5" t="s">
        <v>283</v>
      </c>
      <c r="E20" s="5" t="s">
        <v>81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3.5" customHeight="1">
      <c r="A21" s="14" t="s">
        <v>291</v>
      </c>
      <c r="B21" s="14" t="s">
        <v>293</v>
      </c>
      <c r="C21" s="14" t="s">
        <v>294</v>
      </c>
      <c r="D21" s="14" t="s">
        <v>297</v>
      </c>
      <c r="E21" s="14" t="s">
        <v>299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3.5" customHeight="1">
      <c r="A22" s="14" t="s">
        <v>305</v>
      </c>
      <c r="B22" s="14" t="s">
        <v>307</v>
      </c>
      <c r="C22" s="14" t="s">
        <v>236</v>
      </c>
      <c r="D22" s="14" t="s">
        <v>44</v>
      </c>
      <c r="E22" s="14" t="s">
        <v>313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3.5" customHeight="1">
      <c r="A23" s="14" t="s">
        <v>322</v>
      </c>
      <c r="B23" s="14" t="s">
        <v>323</v>
      </c>
      <c r="C23" s="14" t="s">
        <v>236</v>
      </c>
      <c r="D23" s="14" t="s">
        <v>325</v>
      </c>
      <c r="E23" s="14" t="s">
        <v>327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/>
      <c r="B24" s="9"/>
      <c r="C24" s="9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1.75" customHeight="1">
      <c r="A25" s="19" t="s">
        <v>341</v>
      </c>
      <c r="B25" s="20"/>
      <c r="C25" s="20"/>
      <c r="D25" s="20"/>
      <c r="E25" s="12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5" t="s">
        <v>349</v>
      </c>
      <c r="B26" s="5" t="s">
        <v>350</v>
      </c>
      <c r="C26" s="5" t="s">
        <v>351</v>
      </c>
      <c r="D26" s="5" t="s">
        <v>353</v>
      </c>
      <c r="E26" s="5" t="s">
        <v>81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8.0" customHeight="1">
      <c r="A27" s="14" t="s">
        <v>356</v>
      </c>
      <c r="B27" s="14" t="s">
        <v>357</v>
      </c>
      <c r="C27" s="14" t="s">
        <v>359</v>
      </c>
      <c r="D27" s="14" t="s">
        <v>360</v>
      </c>
      <c r="E27" s="14" t="s">
        <v>361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8.0" customHeight="1">
      <c r="A28" s="14" t="s">
        <v>362</v>
      </c>
      <c r="B28" s="14" t="s">
        <v>364</v>
      </c>
      <c r="C28" s="14" t="s">
        <v>366</v>
      </c>
      <c r="D28" s="14" t="s">
        <v>368</v>
      </c>
      <c r="E28" s="14" t="s">
        <v>370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/>
      <c r="B29" s="9"/>
      <c r="C29" s="9"/>
      <c r="D29" s="9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1.75" customHeight="1">
      <c r="A30" s="19" t="s">
        <v>375</v>
      </c>
      <c r="B30" s="20"/>
      <c r="C30" s="20"/>
      <c r="D30" s="20"/>
      <c r="E30" s="12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" t="s">
        <v>380</v>
      </c>
      <c r="B31" s="3" t="s">
        <v>381</v>
      </c>
      <c r="C31" s="5" t="s">
        <v>383</v>
      </c>
      <c r="D31" s="5" t="s">
        <v>184</v>
      </c>
      <c r="E31" s="5" t="s">
        <v>81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5.75" customHeight="1">
      <c r="A32" s="14" t="s">
        <v>385</v>
      </c>
      <c r="B32" s="14" t="s">
        <v>386</v>
      </c>
      <c r="C32" s="14" t="s">
        <v>387</v>
      </c>
      <c r="D32" s="14" t="s">
        <v>388</v>
      </c>
      <c r="E32" s="14" t="s">
        <v>389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5.75" customHeight="1">
      <c r="A33" s="14" t="s">
        <v>392</v>
      </c>
      <c r="B33" s="14" t="s">
        <v>394</v>
      </c>
      <c r="C33" s="14" t="s">
        <v>395</v>
      </c>
      <c r="D33" s="14" t="s">
        <v>397</v>
      </c>
      <c r="E33" s="14" t="s">
        <v>398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5.75" customHeight="1">
      <c r="A34" s="14" t="s">
        <v>401</v>
      </c>
      <c r="B34" s="14" t="s">
        <v>402</v>
      </c>
      <c r="C34" s="14" t="s">
        <v>404</v>
      </c>
      <c r="D34" s="14" t="s">
        <v>405</v>
      </c>
      <c r="E34" s="14" t="s">
        <v>406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5.75" customHeight="1">
      <c r="A35" s="14" t="s">
        <v>408</v>
      </c>
      <c r="B35" s="14" t="s">
        <v>410</v>
      </c>
      <c r="C35" s="14" t="s">
        <v>412</v>
      </c>
      <c r="D35" s="14" t="s">
        <v>414</v>
      </c>
      <c r="E35" s="14" t="s">
        <v>415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5.75" customHeight="1">
      <c r="A36" s="14" t="s">
        <v>417</v>
      </c>
      <c r="B36" s="14" t="s">
        <v>419</v>
      </c>
      <c r="C36" s="14" t="s">
        <v>387</v>
      </c>
      <c r="D36" s="14" t="s">
        <v>420</v>
      </c>
      <c r="E36" s="14" t="s">
        <v>421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5.75" customHeight="1">
      <c r="A37" s="14" t="s">
        <v>423</v>
      </c>
      <c r="B37" s="14" t="s">
        <v>424</v>
      </c>
      <c r="C37" s="14" t="s">
        <v>425</v>
      </c>
      <c r="D37" s="14" t="s">
        <v>426</v>
      </c>
      <c r="E37" s="14" t="s">
        <v>427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5.75" customHeight="1">
      <c r="A38" s="14" t="s">
        <v>432</v>
      </c>
      <c r="B38" s="14" t="s">
        <v>433</v>
      </c>
      <c r="C38" s="14" t="s">
        <v>387</v>
      </c>
      <c r="D38" s="14" t="s">
        <v>435</v>
      </c>
      <c r="E38" s="14" t="s">
        <v>436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/>
      <c r="B39" s="9"/>
      <c r="C39" s="9"/>
      <c r="D39" s="9"/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1.75" customHeight="1">
      <c r="A40" s="19" t="s">
        <v>440</v>
      </c>
      <c r="B40" s="20"/>
      <c r="C40" s="20"/>
      <c r="D40" s="20"/>
      <c r="E40" s="12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5" t="s">
        <v>445</v>
      </c>
      <c r="B41" s="5" t="s">
        <v>383</v>
      </c>
      <c r="C41" s="5" t="s">
        <v>448</v>
      </c>
      <c r="D41" s="5" t="s">
        <v>184</v>
      </c>
      <c r="E41" s="24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54.0" customHeight="1">
      <c r="A42" s="14" t="s">
        <v>450</v>
      </c>
      <c r="B42" s="14" t="s">
        <v>451</v>
      </c>
      <c r="C42" s="14" t="s">
        <v>452</v>
      </c>
      <c r="D42" s="14" t="s">
        <v>454</v>
      </c>
      <c r="E42" s="2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54.0" customHeight="1">
      <c r="A43" s="14" t="s">
        <v>459</v>
      </c>
      <c r="B43" s="14" t="s">
        <v>461</v>
      </c>
      <c r="C43" s="14" t="s">
        <v>462</v>
      </c>
      <c r="D43" s="14" t="s">
        <v>463</v>
      </c>
      <c r="E43" s="2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54.0" customHeight="1">
      <c r="A44" s="14" t="s">
        <v>465</v>
      </c>
      <c r="B44" s="14" t="s">
        <v>466</v>
      </c>
      <c r="C44" s="14" t="s">
        <v>467</v>
      </c>
      <c r="D44" s="14" t="s">
        <v>469</v>
      </c>
      <c r="E44" s="2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/>
      <c r="B45" s="9"/>
      <c r="C45" s="9"/>
      <c r="D45" s="9"/>
      <c r="E45" s="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/>
      <c r="B46" s="9"/>
      <c r="C46" s="9"/>
      <c r="D46" s="9"/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/>
      <c r="B47" s="9"/>
      <c r="C47" s="9"/>
      <c r="D47" s="9"/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/>
      <c r="B48" s="9"/>
      <c r="C48" s="9"/>
      <c r="D48" s="9"/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/>
      <c r="B49" s="9"/>
      <c r="C49" s="9"/>
      <c r="D49" s="9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9"/>
      <c r="B229" s="9"/>
      <c r="C229" s="9"/>
      <c r="D229" s="9"/>
      <c r="E229" s="9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9"/>
      <c r="B230" s="9"/>
      <c r="C230" s="9"/>
      <c r="D230" s="9"/>
      <c r="E230" s="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9"/>
      <c r="B231" s="9"/>
      <c r="C231" s="9"/>
      <c r="D231" s="9"/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9"/>
      <c r="B232" s="9"/>
      <c r="C232" s="9"/>
      <c r="D232" s="9"/>
      <c r="E232" s="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9"/>
      <c r="B233" s="9"/>
      <c r="C233" s="9"/>
      <c r="D233" s="9"/>
      <c r="E233" s="9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/>
      <c r="B234" s="9"/>
      <c r="C234" s="9"/>
      <c r="D234" s="9"/>
      <c r="E234" s="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9"/>
      <c r="B235" s="9"/>
      <c r="C235" s="9"/>
      <c r="D235" s="9"/>
      <c r="E235" s="9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/>
      <c r="B236" s="9"/>
      <c r="C236" s="9"/>
      <c r="D236" s="9"/>
      <c r="E236" s="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9"/>
      <c r="D237" s="9"/>
      <c r="E237" s="9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/>
      <c r="B238" s="9"/>
      <c r="C238" s="9"/>
      <c r="D238" s="9"/>
      <c r="E238" s="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9"/>
      <c r="B239" s="9"/>
      <c r="C239" s="9"/>
      <c r="D239" s="9"/>
      <c r="E239" s="9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/>
      <c r="B240" s="9"/>
      <c r="C240" s="9"/>
      <c r="D240" s="9"/>
      <c r="E240" s="9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9"/>
      <c r="B241" s="9"/>
      <c r="C241" s="9"/>
      <c r="D241" s="9"/>
      <c r="E241" s="9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/>
      <c r="B242" s="9"/>
      <c r="C242" s="9"/>
      <c r="D242" s="9"/>
      <c r="E242" s="9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9"/>
      <c r="B243" s="9"/>
      <c r="C243" s="9"/>
      <c r="D243" s="9"/>
      <c r="E243" s="9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9"/>
      <c r="B244" s="9"/>
      <c r="C244" s="9"/>
      <c r="D244" s="9"/>
      <c r="E244" s="9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9"/>
      <c r="B245" s="9"/>
      <c r="C245" s="9"/>
      <c r="D245" s="9"/>
      <c r="E245" s="9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9"/>
      <c r="B246" s="9"/>
      <c r="C246" s="9"/>
      <c r="D246" s="9"/>
      <c r="E246" s="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9"/>
      <c r="B247" s="9"/>
      <c r="C247" s="9"/>
      <c r="D247" s="9"/>
      <c r="E247" s="9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/>
      <c r="B248" s="9"/>
      <c r="C248" s="9"/>
      <c r="D248" s="9"/>
      <c r="E248" s="9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9"/>
      <c r="B249" s="9"/>
      <c r="C249" s="9"/>
      <c r="D249" s="9"/>
      <c r="E249" s="9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/>
      <c r="B250" s="9"/>
      <c r="C250" s="9"/>
      <c r="D250" s="9"/>
      <c r="E250" s="9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9"/>
      <c r="B251" s="9"/>
      <c r="C251" s="9"/>
      <c r="D251" s="9"/>
      <c r="E251" s="9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/>
      <c r="B252" s="9"/>
      <c r="C252" s="9"/>
      <c r="D252" s="9"/>
      <c r="E252" s="9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9"/>
      <c r="B253" s="9"/>
      <c r="C253" s="9"/>
      <c r="D253" s="9"/>
      <c r="E253" s="9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/>
      <c r="B254" s="9"/>
      <c r="C254" s="9"/>
      <c r="D254" s="9"/>
      <c r="E254" s="9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9"/>
      <c r="B255" s="9"/>
      <c r="C255" s="9"/>
      <c r="D255" s="9"/>
      <c r="E255" s="9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/>
      <c r="B256" s="9"/>
      <c r="C256" s="9"/>
      <c r="D256" s="9"/>
      <c r="E256" s="9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9"/>
      <c r="B257" s="9"/>
      <c r="C257" s="9"/>
      <c r="D257" s="9"/>
      <c r="E257" s="9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/>
      <c r="B258" s="9"/>
      <c r="C258" s="9"/>
      <c r="D258" s="9"/>
      <c r="E258" s="9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9"/>
      <c r="B259" s="9"/>
      <c r="C259" s="9"/>
      <c r="D259" s="9"/>
      <c r="E259" s="9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/>
      <c r="B260" s="9"/>
      <c r="C260" s="9"/>
      <c r="D260" s="9"/>
      <c r="E260" s="9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9"/>
      <c r="B261" s="9"/>
      <c r="C261" s="9"/>
      <c r="D261" s="9"/>
      <c r="E261" s="9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/>
      <c r="B262" s="9"/>
      <c r="C262" s="9"/>
      <c r="D262" s="9"/>
      <c r="E262" s="9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9"/>
      <c r="B263" s="9"/>
      <c r="C263" s="9"/>
      <c r="D263" s="9"/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/>
      <c r="B264" s="9"/>
      <c r="C264" s="9"/>
      <c r="D264" s="9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9"/>
      <c r="B265" s="9"/>
      <c r="C265" s="9"/>
      <c r="D265" s="9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/>
      <c r="B266" s="9"/>
      <c r="C266" s="9"/>
      <c r="D266" s="9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9"/>
      <c r="B267" s="9"/>
      <c r="C267" s="9"/>
      <c r="D267" s="9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9"/>
      <c r="B268" s="9"/>
      <c r="C268" s="9"/>
      <c r="D268" s="9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9"/>
      <c r="B269" s="9"/>
      <c r="C269" s="9"/>
      <c r="D269" s="9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/>
      <c r="B270" s="9"/>
      <c r="C270" s="9"/>
      <c r="D270" s="9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9"/>
      <c r="B271" s="9"/>
      <c r="C271" s="9"/>
      <c r="D271" s="9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/>
      <c r="B272" s="9"/>
      <c r="C272" s="9"/>
      <c r="D272" s="9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9"/>
      <c r="B273" s="9"/>
      <c r="C273" s="9"/>
      <c r="D273" s="9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/>
      <c r="B274" s="9"/>
      <c r="C274" s="9"/>
      <c r="D274" s="9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9"/>
      <c r="B275" s="9"/>
      <c r="C275" s="9"/>
      <c r="D275" s="9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/>
      <c r="B276" s="9"/>
      <c r="C276" s="9"/>
      <c r="D276" s="9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9"/>
      <c r="B277" s="9"/>
      <c r="C277" s="9"/>
      <c r="D277" s="9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/>
      <c r="B278" s="9"/>
      <c r="C278" s="9"/>
      <c r="D278" s="9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9"/>
      <c r="B279" s="9"/>
      <c r="C279" s="9"/>
      <c r="D279" s="9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/>
      <c r="B280" s="9"/>
      <c r="C280" s="9"/>
      <c r="D280" s="9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9"/>
      <c r="B281" s="9"/>
      <c r="C281" s="9"/>
      <c r="D281" s="9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/>
      <c r="B282" s="9"/>
      <c r="C282" s="9"/>
      <c r="D282" s="9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9"/>
      <c r="B283" s="9"/>
      <c r="C283" s="9"/>
      <c r="D283" s="9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/>
      <c r="B284" s="9"/>
      <c r="C284" s="9"/>
      <c r="D284" s="9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9"/>
      <c r="B285" s="9"/>
      <c r="C285" s="9"/>
      <c r="D285" s="9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/>
      <c r="B286" s="9"/>
      <c r="C286" s="9"/>
      <c r="D286" s="9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9"/>
      <c r="B287" s="9"/>
      <c r="C287" s="9"/>
      <c r="D287" s="9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/>
      <c r="B288" s="9"/>
      <c r="C288" s="9"/>
      <c r="D288" s="9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9"/>
      <c r="B289" s="9"/>
      <c r="C289" s="9"/>
      <c r="D289" s="9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/>
      <c r="B290" s="9"/>
      <c r="C290" s="9"/>
      <c r="D290" s="9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9"/>
      <c r="B291" s="9"/>
      <c r="C291" s="9"/>
      <c r="D291" s="9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/>
      <c r="B292" s="9"/>
      <c r="C292" s="9"/>
      <c r="D292" s="9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9"/>
      <c r="B293" s="9"/>
      <c r="C293" s="9"/>
      <c r="D293" s="9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/>
      <c r="B294" s="9"/>
      <c r="C294" s="9"/>
      <c r="D294" s="9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9"/>
      <c r="B295" s="9"/>
      <c r="C295" s="9"/>
      <c r="D295" s="9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/>
      <c r="B296" s="9"/>
      <c r="C296" s="9"/>
      <c r="D296" s="9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9"/>
      <c r="B297" s="9"/>
      <c r="C297" s="9"/>
      <c r="D297" s="9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/>
      <c r="B298" s="9"/>
      <c r="C298" s="9"/>
      <c r="D298" s="9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9"/>
      <c r="B299" s="9"/>
      <c r="C299" s="9"/>
      <c r="D299" s="9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/>
      <c r="B300" s="9"/>
      <c r="C300" s="9"/>
      <c r="D300" s="9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9"/>
      <c r="B301" s="9"/>
      <c r="C301" s="9"/>
      <c r="D301" s="9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9"/>
      <c r="B302" s="9"/>
      <c r="C302" s="9"/>
      <c r="D302" s="9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9"/>
      <c r="B303" s="9"/>
      <c r="C303" s="9"/>
      <c r="D303" s="9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/>
      <c r="B304" s="9"/>
      <c r="C304" s="9"/>
      <c r="D304" s="9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9"/>
      <c r="B305" s="9"/>
      <c r="C305" s="9"/>
      <c r="D305" s="9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/>
      <c r="B306" s="9"/>
      <c r="C306" s="9"/>
      <c r="D306" s="9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9"/>
      <c r="B307" s="9"/>
      <c r="C307" s="9"/>
      <c r="D307" s="9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/>
      <c r="B308" s="9"/>
      <c r="C308" s="9"/>
      <c r="D308" s="9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9"/>
      <c r="B309" s="9"/>
      <c r="C309" s="9"/>
      <c r="D309" s="9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/>
      <c r="B310" s="9"/>
      <c r="C310" s="9"/>
      <c r="D310" s="9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9"/>
      <c r="B311" s="9"/>
      <c r="C311" s="9"/>
      <c r="D311" s="9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/>
      <c r="B312" s="9"/>
      <c r="C312" s="9"/>
      <c r="D312" s="9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9"/>
      <c r="B313" s="9"/>
      <c r="C313" s="9"/>
      <c r="D313" s="9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/>
      <c r="B314" s="9"/>
      <c r="C314" s="9"/>
      <c r="D314" s="9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9"/>
      <c r="B315" s="9"/>
      <c r="C315" s="9"/>
      <c r="D315" s="9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9"/>
      <c r="B316" s="9"/>
      <c r="C316" s="9"/>
      <c r="D316" s="9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9"/>
      <c r="B317" s="9"/>
      <c r="C317" s="9"/>
      <c r="D317" s="9"/>
      <c r="E317" s="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/>
      <c r="B318" s="9"/>
      <c r="C318" s="9"/>
      <c r="D318" s="9"/>
      <c r="E318" s="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9"/>
      <c r="B319" s="9"/>
      <c r="C319" s="9"/>
      <c r="D319" s="9"/>
      <c r="E319" s="9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9"/>
      <c r="B320" s="9"/>
      <c r="C320" s="9"/>
      <c r="D320" s="9"/>
      <c r="E320" s="9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9"/>
      <c r="B321" s="9"/>
      <c r="C321" s="9"/>
      <c r="D321" s="9"/>
      <c r="E321" s="9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9"/>
      <c r="B322" s="9"/>
      <c r="C322" s="9"/>
      <c r="D322" s="9"/>
      <c r="E322" s="9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9"/>
      <c r="B323" s="9"/>
      <c r="C323" s="9"/>
      <c r="D323" s="9"/>
      <c r="E323" s="9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9"/>
      <c r="B324" s="9"/>
      <c r="C324" s="9"/>
      <c r="D324" s="9"/>
      <c r="E324" s="9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9"/>
      <c r="B325" s="9"/>
      <c r="C325" s="9"/>
      <c r="D325" s="9"/>
      <c r="E325" s="9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9"/>
      <c r="B326" s="9"/>
      <c r="C326" s="9"/>
      <c r="D326" s="9"/>
      <c r="E326" s="9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9"/>
      <c r="B327" s="9"/>
      <c r="C327" s="9"/>
      <c r="D327" s="9"/>
      <c r="E327" s="9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/>
      <c r="B328" s="9"/>
      <c r="C328" s="9"/>
      <c r="D328" s="9"/>
      <c r="E328" s="9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9"/>
      <c r="B329" s="9"/>
      <c r="C329" s="9"/>
      <c r="D329" s="9"/>
      <c r="E329" s="9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/>
      <c r="B330" s="9"/>
      <c r="C330" s="9"/>
      <c r="D330" s="9"/>
      <c r="E330" s="9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9"/>
      <c r="B331" s="9"/>
      <c r="C331" s="9"/>
      <c r="D331" s="9"/>
      <c r="E331" s="9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9"/>
      <c r="B332" s="9"/>
      <c r="C332" s="9"/>
      <c r="D332" s="9"/>
      <c r="E332" s="9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9"/>
      <c r="B333" s="9"/>
      <c r="C333" s="9"/>
      <c r="D333" s="9"/>
      <c r="E333" s="9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/>
      <c r="B334" s="9"/>
      <c r="C334" s="9"/>
      <c r="D334" s="9"/>
      <c r="E334" s="9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9"/>
      <c r="B335" s="9"/>
      <c r="C335" s="9"/>
      <c r="D335" s="9"/>
      <c r="E335" s="9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9"/>
      <c r="B336" s="9"/>
      <c r="C336" s="9"/>
      <c r="D336" s="9"/>
      <c r="E336" s="9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9"/>
      <c r="B337" s="9"/>
      <c r="C337" s="9"/>
      <c r="D337" s="9"/>
      <c r="E337" s="9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9"/>
      <c r="B338" s="9"/>
      <c r="C338" s="9"/>
      <c r="D338" s="9"/>
      <c r="E338" s="9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9"/>
      <c r="B339" s="9"/>
      <c r="C339" s="9"/>
      <c r="D339" s="9"/>
      <c r="E339" s="9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/>
      <c r="B340" s="9"/>
      <c r="C340" s="9"/>
      <c r="D340" s="9"/>
      <c r="E340" s="9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9"/>
      <c r="B341" s="9"/>
      <c r="C341" s="9"/>
      <c r="D341" s="9"/>
      <c r="E341" s="9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/>
      <c r="B342" s="9"/>
      <c r="C342" s="9"/>
      <c r="D342" s="9"/>
      <c r="E342" s="9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9"/>
      <c r="B343" s="9"/>
      <c r="C343" s="9"/>
      <c r="D343" s="9"/>
      <c r="E343" s="9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/>
      <c r="B344" s="9"/>
      <c r="C344" s="9"/>
      <c r="D344" s="9"/>
      <c r="E344" s="9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9"/>
      <c r="B345" s="9"/>
      <c r="C345" s="9"/>
      <c r="D345" s="9"/>
      <c r="E345" s="9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/>
      <c r="B346" s="9"/>
      <c r="C346" s="9"/>
      <c r="D346" s="9"/>
      <c r="E346" s="9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9"/>
      <c r="B347" s="9"/>
      <c r="C347" s="9"/>
      <c r="D347" s="9"/>
      <c r="E347" s="9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9"/>
      <c r="B348" s="9"/>
      <c r="C348" s="9"/>
      <c r="D348" s="9"/>
      <c r="E348" s="9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9"/>
      <c r="B349" s="9"/>
      <c r="C349" s="9"/>
      <c r="D349" s="9"/>
      <c r="E349" s="9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/>
      <c r="B350" s="9"/>
      <c r="C350" s="9"/>
      <c r="D350" s="9"/>
      <c r="E350" s="9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9"/>
      <c r="B351" s="9"/>
      <c r="C351" s="9"/>
      <c r="D351" s="9"/>
      <c r="E351" s="9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/>
      <c r="B352" s="9"/>
      <c r="C352" s="9"/>
      <c r="D352" s="9"/>
      <c r="E352" s="9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9"/>
      <c r="B353" s="9"/>
      <c r="C353" s="9"/>
      <c r="D353" s="9"/>
      <c r="E353" s="9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/>
      <c r="B354" s="9"/>
      <c r="C354" s="9"/>
      <c r="D354" s="9"/>
      <c r="E354" s="9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9"/>
      <c r="B355" s="9"/>
      <c r="C355" s="9"/>
      <c r="D355" s="9"/>
      <c r="E355" s="9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9"/>
      <c r="B356" s="9"/>
      <c r="C356" s="9"/>
      <c r="D356" s="9"/>
      <c r="E356" s="9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9"/>
      <c r="B357" s="9"/>
      <c r="C357" s="9"/>
      <c r="D357" s="9"/>
      <c r="E357" s="9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/>
      <c r="B358" s="9"/>
      <c r="C358" s="9"/>
      <c r="D358" s="9"/>
      <c r="E358" s="9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9"/>
      <c r="B359" s="9"/>
      <c r="C359" s="9"/>
      <c r="D359" s="9"/>
      <c r="E359" s="9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9"/>
      <c r="B360" s="9"/>
      <c r="C360" s="9"/>
      <c r="D360" s="9"/>
      <c r="E360" s="9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9"/>
      <c r="B361" s="9"/>
      <c r="C361" s="9"/>
      <c r="D361" s="9"/>
      <c r="E361" s="9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9"/>
      <c r="B362" s="9"/>
      <c r="C362" s="9"/>
      <c r="D362" s="9"/>
      <c r="E362" s="9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9"/>
      <c r="B363" s="9"/>
      <c r="C363" s="9"/>
      <c r="D363" s="9"/>
      <c r="E363" s="9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/>
      <c r="B364" s="9"/>
      <c r="C364" s="9"/>
      <c r="D364" s="9"/>
      <c r="E364" s="9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9"/>
      <c r="B365" s="9"/>
      <c r="C365" s="9"/>
      <c r="D365" s="9"/>
      <c r="E365" s="9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/>
      <c r="B366" s="9"/>
      <c r="C366" s="9"/>
      <c r="D366" s="9"/>
      <c r="E366" s="9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9"/>
      <c r="B367" s="9"/>
      <c r="C367" s="9"/>
      <c r="D367" s="9"/>
      <c r="E367" s="9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9"/>
      <c r="B368" s="9"/>
      <c r="C368" s="9"/>
      <c r="D368" s="9"/>
      <c r="E368" s="9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9"/>
      <c r="B369" s="9"/>
      <c r="C369" s="9"/>
      <c r="D369" s="9"/>
      <c r="E369" s="9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/>
      <c r="B370" s="9"/>
      <c r="C370" s="9"/>
      <c r="D370" s="9"/>
      <c r="E370" s="9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9"/>
      <c r="B371" s="9"/>
      <c r="C371" s="9"/>
      <c r="D371" s="9"/>
      <c r="E371" s="9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9"/>
      <c r="B372" s="9"/>
      <c r="C372" s="9"/>
      <c r="D372" s="9"/>
      <c r="E372" s="9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9"/>
      <c r="B373" s="9"/>
      <c r="C373" s="9"/>
      <c r="D373" s="9"/>
      <c r="E373" s="9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9"/>
      <c r="B374" s="9"/>
      <c r="C374" s="9"/>
      <c r="D374" s="9"/>
      <c r="E374" s="9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9"/>
      <c r="B375" s="9"/>
      <c r="C375" s="9"/>
      <c r="D375" s="9"/>
      <c r="E375" s="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9"/>
      <c r="B376" s="9"/>
      <c r="C376" s="9"/>
      <c r="D376" s="9"/>
      <c r="E376" s="9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9"/>
      <c r="B377" s="9"/>
      <c r="C377" s="9"/>
      <c r="D377" s="9"/>
      <c r="E377" s="9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/>
      <c r="B378" s="9"/>
      <c r="C378" s="9"/>
      <c r="D378" s="9"/>
      <c r="E378" s="9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9"/>
      <c r="B379" s="9"/>
      <c r="C379" s="9"/>
      <c r="D379" s="9"/>
      <c r="E379" s="9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9"/>
      <c r="B380" s="9"/>
      <c r="C380" s="9"/>
      <c r="D380" s="9"/>
      <c r="E380" s="9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9"/>
      <c r="B381" s="9"/>
      <c r="C381" s="9"/>
      <c r="D381" s="9"/>
      <c r="E381" s="9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/>
      <c r="B382" s="9"/>
      <c r="C382" s="9"/>
      <c r="D382" s="9"/>
      <c r="E382" s="9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9"/>
      <c r="B383" s="9"/>
      <c r="C383" s="9"/>
      <c r="D383" s="9"/>
      <c r="E383" s="9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/>
      <c r="B384" s="9"/>
      <c r="C384" s="9"/>
      <c r="D384" s="9"/>
      <c r="E384" s="9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9"/>
      <c r="B385" s="9"/>
      <c r="C385" s="9"/>
      <c r="D385" s="9"/>
      <c r="E385" s="9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/>
      <c r="B386" s="9"/>
      <c r="C386" s="9"/>
      <c r="D386" s="9"/>
      <c r="E386" s="9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9"/>
      <c r="B387" s="9"/>
      <c r="C387" s="9"/>
      <c r="D387" s="9"/>
      <c r="E387" s="9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/>
      <c r="B388" s="9"/>
      <c r="C388" s="9"/>
      <c r="D388" s="9"/>
      <c r="E388" s="9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9"/>
      <c r="B389" s="9"/>
      <c r="C389" s="9"/>
      <c r="D389" s="9"/>
      <c r="E389" s="9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/>
      <c r="B390" s="9"/>
      <c r="C390" s="9"/>
      <c r="D390" s="9"/>
      <c r="E390" s="9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9"/>
      <c r="B391" s="9"/>
      <c r="C391" s="9"/>
      <c r="D391" s="9"/>
      <c r="E391" s="9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/>
      <c r="B392" s="9"/>
      <c r="C392" s="9"/>
      <c r="D392" s="9"/>
      <c r="E392" s="9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9"/>
      <c r="B393" s="9"/>
      <c r="C393" s="9"/>
      <c r="D393" s="9"/>
      <c r="E393" s="9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/>
      <c r="B394" s="9"/>
      <c r="C394" s="9"/>
      <c r="D394" s="9"/>
      <c r="E394" s="9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9"/>
      <c r="B395" s="9"/>
      <c r="C395" s="9"/>
      <c r="D395" s="9"/>
      <c r="E395" s="9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/>
      <c r="B396" s="9"/>
      <c r="C396" s="9"/>
      <c r="D396" s="9"/>
      <c r="E396" s="9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"/>
      <c r="B397" s="9"/>
      <c r="C397" s="9"/>
      <c r="D397" s="9"/>
      <c r="E397" s="9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/>
      <c r="B398" s="9"/>
      <c r="C398" s="9"/>
      <c r="D398" s="9"/>
      <c r="E398" s="9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"/>
      <c r="B399" s="9"/>
      <c r="C399" s="9"/>
      <c r="D399" s="9"/>
      <c r="E399" s="9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/>
      <c r="B400" s="9"/>
      <c r="C400" s="9"/>
      <c r="D400" s="9"/>
      <c r="E400" s="9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"/>
      <c r="B401" s="9"/>
      <c r="C401" s="9"/>
      <c r="D401" s="9"/>
      <c r="E401" s="9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/>
      <c r="B402" s="9"/>
      <c r="C402" s="9"/>
      <c r="D402" s="9"/>
      <c r="E402" s="9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"/>
      <c r="B403" s="9"/>
      <c r="C403" s="9"/>
      <c r="D403" s="9"/>
      <c r="E403" s="9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/>
      <c r="B404" s="9"/>
      <c r="C404" s="9"/>
      <c r="D404" s="9"/>
      <c r="E404" s="9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"/>
      <c r="B405" s="9"/>
      <c r="C405" s="9"/>
      <c r="D405" s="9"/>
      <c r="E405" s="9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"/>
      <c r="B406" s="9"/>
      <c r="C406" s="9"/>
      <c r="D406" s="9"/>
      <c r="E406" s="9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"/>
      <c r="B407" s="9"/>
      <c r="C407" s="9"/>
      <c r="D407" s="9"/>
      <c r="E407" s="9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"/>
      <c r="B408" s="9"/>
      <c r="C408" s="9"/>
      <c r="D408" s="9"/>
      <c r="E408" s="9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"/>
      <c r="B409" s="9"/>
      <c r="C409" s="9"/>
      <c r="D409" s="9"/>
      <c r="E409" s="9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"/>
      <c r="B410" s="9"/>
      <c r="C410" s="9"/>
      <c r="D410" s="9"/>
      <c r="E410" s="9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9"/>
      <c r="B411" s="9"/>
      <c r="C411" s="9"/>
      <c r="D411" s="9"/>
      <c r="E411" s="9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/>
      <c r="B412" s="9"/>
      <c r="C412" s="9"/>
      <c r="D412" s="9"/>
      <c r="E412" s="9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"/>
      <c r="B413" s="9"/>
      <c r="C413" s="9"/>
      <c r="D413" s="9"/>
      <c r="E413" s="9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"/>
      <c r="B414" s="9"/>
      <c r="C414" s="9"/>
      <c r="D414" s="9"/>
      <c r="E414" s="9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9"/>
      <c r="B415" s="9"/>
      <c r="C415" s="9"/>
      <c r="D415" s="9"/>
      <c r="E415" s="9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9"/>
      <c r="B416" s="9"/>
      <c r="C416" s="9"/>
      <c r="D416" s="9"/>
      <c r="E416" s="9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"/>
      <c r="B417" s="9"/>
      <c r="C417" s="9"/>
      <c r="D417" s="9"/>
      <c r="E417" s="9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"/>
      <c r="B418" s="9"/>
      <c r="C418" s="9"/>
      <c r="D418" s="9"/>
      <c r="E418" s="9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"/>
      <c r="B419" s="9"/>
      <c r="C419" s="9"/>
      <c r="D419" s="9"/>
      <c r="E419" s="9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/>
      <c r="B420" s="9"/>
      <c r="C420" s="9"/>
      <c r="D420" s="9"/>
      <c r="E420" s="9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9"/>
      <c r="B421" s="9"/>
      <c r="C421" s="9"/>
      <c r="D421" s="9"/>
      <c r="E421" s="9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/>
      <c r="B422" s="9"/>
      <c r="C422" s="9"/>
      <c r="D422" s="9"/>
      <c r="E422" s="9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"/>
      <c r="B423" s="9"/>
      <c r="C423" s="9"/>
      <c r="D423" s="9"/>
      <c r="E423" s="9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/>
      <c r="B424" s="9"/>
      <c r="C424" s="9"/>
      <c r="D424" s="9"/>
      <c r="E424" s="9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"/>
      <c r="B425" s="9"/>
      <c r="C425" s="9"/>
      <c r="D425" s="9"/>
      <c r="E425" s="9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/>
      <c r="B426" s="9"/>
      <c r="C426" s="9"/>
      <c r="D426" s="9"/>
      <c r="E426" s="9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9"/>
      <c r="B427" s="9"/>
      <c r="C427" s="9"/>
      <c r="D427" s="9"/>
      <c r="E427" s="9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/>
      <c r="B428" s="9"/>
      <c r="C428" s="9"/>
      <c r="D428" s="9"/>
      <c r="E428" s="9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9"/>
      <c r="B429" s="9"/>
      <c r="C429" s="9"/>
      <c r="D429" s="9"/>
      <c r="E429" s="9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/>
      <c r="B430" s="9"/>
      <c r="C430" s="9"/>
      <c r="D430" s="9"/>
      <c r="E430" s="9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9"/>
      <c r="B431" s="9"/>
      <c r="C431" s="9"/>
      <c r="D431" s="9"/>
      <c r="E431" s="9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/>
      <c r="B432" s="9"/>
      <c r="C432" s="9"/>
      <c r="D432" s="9"/>
      <c r="E432" s="9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9"/>
      <c r="B433" s="9"/>
      <c r="C433" s="9"/>
      <c r="D433" s="9"/>
      <c r="E433" s="9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/>
      <c r="B434" s="9"/>
      <c r="C434" s="9"/>
      <c r="D434" s="9"/>
      <c r="E434" s="9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9"/>
      <c r="B435" s="9"/>
      <c r="C435" s="9"/>
      <c r="D435" s="9"/>
      <c r="E435" s="9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/>
      <c r="B436" s="9"/>
      <c r="C436" s="9"/>
      <c r="D436" s="9"/>
      <c r="E436" s="9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9"/>
      <c r="B437" s="9"/>
      <c r="C437" s="9"/>
      <c r="D437" s="9"/>
      <c r="E437" s="9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/>
      <c r="B438" s="9"/>
      <c r="C438" s="9"/>
      <c r="D438" s="9"/>
      <c r="E438" s="9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9"/>
      <c r="B439" s="9"/>
      <c r="C439" s="9"/>
      <c r="D439" s="9"/>
      <c r="E439" s="9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/>
      <c r="B440" s="9"/>
      <c r="C440" s="9"/>
      <c r="D440" s="9"/>
      <c r="E440" s="9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9"/>
      <c r="B441" s="9"/>
      <c r="C441" s="9"/>
      <c r="D441" s="9"/>
      <c r="E441" s="9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/>
      <c r="B442" s="9"/>
      <c r="C442" s="9"/>
      <c r="D442" s="9"/>
      <c r="E442" s="9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9"/>
      <c r="B443" s="9"/>
      <c r="C443" s="9"/>
      <c r="D443" s="9"/>
      <c r="E443" s="9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/>
      <c r="B444" s="9"/>
      <c r="C444" s="9"/>
      <c r="D444" s="9"/>
      <c r="E444" s="9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9"/>
      <c r="B445" s="9"/>
      <c r="C445" s="9"/>
      <c r="D445" s="9"/>
      <c r="E445" s="9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/>
      <c r="B446" s="9"/>
      <c r="C446" s="9"/>
      <c r="D446" s="9"/>
      <c r="E446" s="9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9"/>
      <c r="B447" s="9"/>
      <c r="C447" s="9"/>
      <c r="D447" s="9"/>
      <c r="E447" s="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/>
      <c r="B448" s="9"/>
      <c r="C448" s="9"/>
      <c r="D448" s="9"/>
      <c r="E448" s="9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9"/>
      <c r="B449" s="9"/>
      <c r="C449" s="9"/>
      <c r="D449" s="9"/>
      <c r="E449" s="9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/>
      <c r="B450" s="9"/>
      <c r="C450" s="9"/>
      <c r="D450" s="9"/>
      <c r="E450" s="9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9"/>
      <c r="B451" s="9"/>
      <c r="C451" s="9"/>
      <c r="D451" s="9"/>
      <c r="E451" s="9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/>
      <c r="B452" s="9"/>
      <c r="C452" s="9"/>
      <c r="D452" s="9"/>
      <c r="E452" s="9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9"/>
      <c r="B453" s="9"/>
      <c r="C453" s="9"/>
      <c r="D453" s="9"/>
      <c r="E453" s="9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/>
      <c r="B454" s="9"/>
      <c r="C454" s="9"/>
      <c r="D454" s="9"/>
      <c r="E454" s="9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9"/>
      <c r="B455" s="9"/>
      <c r="C455" s="9"/>
      <c r="D455" s="9"/>
      <c r="E455" s="9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/>
      <c r="B456" s="9"/>
      <c r="C456" s="9"/>
      <c r="D456" s="9"/>
      <c r="E456" s="9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9"/>
      <c r="B457" s="9"/>
      <c r="C457" s="9"/>
      <c r="D457" s="9"/>
      <c r="E457" s="9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/>
      <c r="B458" s="9"/>
      <c r="C458" s="9"/>
      <c r="D458" s="9"/>
      <c r="E458" s="9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9"/>
      <c r="B459" s="9"/>
      <c r="C459" s="9"/>
      <c r="D459" s="9"/>
      <c r="E459" s="9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/>
      <c r="B460" s="9"/>
      <c r="C460" s="9"/>
      <c r="D460" s="9"/>
      <c r="E460" s="9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9"/>
      <c r="B461" s="9"/>
      <c r="C461" s="9"/>
      <c r="D461" s="9"/>
      <c r="E461" s="9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/>
      <c r="B462" s="9"/>
      <c r="C462" s="9"/>
      <c r="D462" s="9"/>
      <c r="E462" s="9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9"/>
      <c r="B463" s="9"/>
      <c r="C463" s="9"/>
      <c r="D463" s="9"/>
      <c r="E463" s="9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/>
      <c r="B464" s="9"/>
      <c r="C464" s="9"/>
      <c r="D464" s="9"/>
      <c r="E464" s="9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9"/>
      <c r="B465" s="9"/>
      <c r="C465" s="9"/>
      <c r="D465" s="9"/>
      <c r="E465" s="9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/>
      <c r="B466" s="9"/>
      <c r="C466" s="9"/>
      <c r="D466" s="9"/>
      <c r="E466" s="9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9"/>
      <c r="B467" s="9"/>
      <c r="C467" s="9"/>
      <c r="D467" s="9"/>
      <c r="E467" s="9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/>
      <c r="B468" s="9"/>
      <c r="C468" s="9"/>
      <c r="D468" s="9"/>
      <c r="E468" s="9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9"/>
      <c r="B469" s="9"/>
      <c r="C469" s="9"/>
      <c r="D469" s="9"/>
      <c r="E469" s="9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/>
      <c r="B470" s="9"/>
      <c r="C470" s="9"/>
      <c r="D470" s="9"/>
      <c r="E470" s="9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9"/>
      <c r="B471" s="9"/>
      <c r="C471" s="9"/>
      <c r="D471" s="9"/>
      <c r="E471" s="9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/>
      <c r="B472" s="9"/>
      <c r="C472" s="9"/>
      <c r="D472" s="9"/>
      <c r="E472" s="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9"/>
      <c r="B473" s="9"/>
      <c r="C473" s="9"/>
      <c r="D473" s="9"/>
      <c r="E473" s="9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/>
      <c r="B474" s="9"/>
      <c r="C474" s="9"/>
      <c r="D474" s="9"/>
      <c r="E474" s="9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9"/>
      <c r="B475" s="9"/>
      <c r="C475" s="9"/>
      <c r="D475" s="9"/>
      <c r="E475" s="9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/>
      <c r="B476" s="9"/>
      <c r="C476" s="9"/>
      <c r="D476" s="9"/>
      <c r="E476" s="9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9"/>
      <c r="B477" s="9"/>
      <c r="C477" s="9"/>
      <c r="D477" s="9"/>
      <c r="E477" s="9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/>
      <c r="B478" s="9"/>
      <c r="C478" s="9"/>
      <c r="D478" s="9"/>
      <c r="E478" s="9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9"/>
      <c r="B479" s="9"/>
      <c r="C479" s="9"/>
      <c r="D479" s="9"/>
      <c r="E479" s="9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/>
      <c r="B480" s="9"/>
      <c r="C480" s="9"/>
      <c r="D480" s="9"/>
      <c r="E480" s="9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9"/>
      <c r="B481" s="9"/>
      <c r="C481" s="9"/>
      <c r="D481" s="9"/>
      <c r="E481" s="9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/>
      <c r="B482" s="9"/>
      <c r="C482" s="9"/>
      <c r="D482" s="9"/>
      <c r="E482" s="9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9"/>
      <c r="B483" s="9"/>
      <c r="C483" s="9"/>
      <c r="D483" s="9"/>
      <c r="E483" s="9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/>
      <c r="B484" s="9"/>
      <c r="C484" s="9"/>
      <c r="D484" s="9"/>
      <c r="E484" s="9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9"/>
      <c r="B485" s="9"/>
      <c r="C485" s="9"/>
      <c r="D485" s="9"/>
      <c r="E485" s="9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/>
      <c r="B486" s="9"/>
      <c r="C486" s="9"/>
      <c r="D486" s="9"/>
      <c r="E486" s="9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9"/>
      <c r="B487" s="9"/>
      <c r="C487" s="9"/>
      <c r="D487" s="9"/>
      <c r="E487" s="9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/>
      <c r="B488" s="9"/>
      <c r="C488" s="9"/>
      <c r="D488" s="9"/>
      <c r="E488" s="9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9"/>
      <c r="B489" s="9"/>
      <c r="C489" s="9"/>
      <c r="D489" s="9"/>
      <c r="E489" s="9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/>
      <c r="B490" s="9"/>
      <c r="C490" s="9"/>
      <c r="D490" s="9"/>
      <c r="E490" s="9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9"/>
      <c r="B491" s="9"/>
      <c r="C491" s="9"/>
      <c r="D491" s="9"/>
      <c r="E491" s="9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9"/>
      <c r="B492" s="9"/>
      <c r="C492" s="9"/>
      <c r="D492" s="9"/>
      <c r="E492" s="9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9"/>
      <c r="B493" s="9"/>
      <c r="C493" s="9"/>
      <c r="D493" s="9"/>
      <c r="E493" s="9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9"/>
      <c r="B494" s="9"/>
      <c r="C494" s="9"/>
      <c r="D494" s="9"/>
      <c r="E494" s="9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9"/>
      <c r="B495" s="9"/>
      <c r="C495" s="9"/>
      <c r="D495" s="9"/>
      <c r="E495" s="9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/>
      <c r="B496" s="9"/>
      <c r="C496" s="9"/>
      <c r="D496" s="9"/>
      <c r="E496" s="9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9"/>
      <c r="B497" s="9"/>
      <c r="C497" s="9"/>
      <c r="D497" s="9"/>
      <c r="E497" s="9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/>
      <c r="B498" s="9"/>
      <c r="C498" s="9"/>
      <c r="D498" s="9"/>
      <c r="E498" s="9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9"/>
      <c r="B499" s="9"/>
      <c r="C499" s="9"/>
      <c r="D499" s="9"/>
      <c r="E499" s="9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9"/>
      <c r="B500" s="9"/>
      <c r="C500" s="9"/>
      <c r="D500" s="9"/>
      <c r="E500" s="9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9"/>
      <c r="B501" s="9"/>
      <c r="C501" s="9"/>
      <c r="D501" s="9"/>
      <c r="E501" s="9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/>
      <c r="B502" s="9"/>
      <c r="C502" s="9"/>
      <c r="D502" s="9"/>
      <c r="E502" s="9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9"/>
      <c r="B503" s="9"/>
      <c r="C503" s="9"/>
      <c r="D503" s="9"/>
      <c r="E503" s="9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/>
      <c r="B504" s="9"/>
      <c r="C504" s="9"/>
      <c r="D504" s="9"/>
      <c r="E504" s="9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9"/>
      <c r="B505" s="9"/>
      <c r="C505" s="9"/>
      <c r="D505" s="9"/>
      <c r="E505" s="9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9"/>
      <c r="B506" s="9"/>
      <c r="C506" s="9"/>
      <c r="D506" s="9"/>
      <c r="E506" s="9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9"/>
      <c r="B507" s="9"/>
      <c r="C507" s="9"/>
      <c r="D507" s="9"/>
      <c r="E507" s="9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9"/>
      <c r="B508" s="9"/>
      <c r="C508" s="9"/>
      <c r="D508" s="9"/>
      <c r="E508" s="9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9"/>
      <c r="B509" s="9"/>
      <c r="C509" s="9"/>
      <c r="D509" s="9"/>
      <c r="E509" s="9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9"/>
      <c r="B510" s="9"/>
      <c r="C510" s="9"/>
      <c r="D510" s="9"/>
      <c r="E510" s="9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9"/>
      <c r="B511" s="9"/>
      <c r="C511" s="9"/>
      <c r="D511" s="9"/>
      <c r="E511" s="9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/>
      <c r="B512" s="9"/>
      <c r="C512" s="9"/>
      <c r="D512" s="9"/>
      <c r="E512" s="9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"/>
      <c r="B513" s="9"/>
      <c r="C513" s="9"/>
      <c r="D513" s="9"/>
      <c r="E513" s="9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/>
      <c r="B514" s="9"/>
      <c r="C514" s="9"/>
      <c r="D514" s="9"/>
      <c r="E514" s="9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"/>
      <c r="B515" s="9"/>
      <c r="C515" s="9"/>
      <c r="D515" s="9"/>
      <c r="E515" s="9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/>
      <c r="B516" s="9"/>
      <c r="C516" s="9"/>
      <c r="D516" s="9"/>
      <c r="E516" s="9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9"/>
      <c r="B517" s="9"/>
      <c r="C517" s="9"/>
      <c r="D517" s="9"/>
      <c r="E517" s="9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/>
      <c r="B518" s="9"/>
      <c r="C518" s="9"/>
      <c r="D518" s="9"/>
      <c r="E518" s="9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"/>
      <c r="B519" s="9"/>
      <c r="C519" s="9"/>
      <c r="D519" s="9"/>
      <c r="E519" s="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/>
      <c r="B520" s="9"/>
      <c r="C520" s="9"/>
      <c r="D520" s="9"/>
      <c r="E520" s="9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"/>
      <c r="B521" s="9"/>
      <c r="C521" s="9"/>
      <c r="D521" s="9"/>
      <c r="E521" s="9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/>
      <c r="B522" s="9"/>
      <c r="C522" s="9"/>
      <c r="D522" s="9"/>
      <c r="E522" s="9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9"/>
      <c r="B523" s="9"/>
      <c r="C523" s="9"/>
      <c r="D523" s="9"/>
      <c r="E523" s="9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9"/>
      <c r="B524" s="9"/>
      <c r="C524" s="9"/>
      <c r="D524" s="9"/>
      <c r="E524" s="9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"/>
      <c r="B525" s="9"/>
      <c r="C525" s="9"/>
      <c r="D525" s="9"/>
      <c r="E525" s="9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"/>
      <c r="B526" s="9"/>
      <c r="C526" s="9"/>
      <c r="D526" s="9"/>
      <c r="E526" s="9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"/>
      <c r="B527" s="9"/>
      <c r="C527" s="9"/>
      <c r="D527" s="9"/>
      <c r="E527" s="9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/>
      <c r="B528" s="9"/>
      <c r="C528" s="9"/>
      <c r="D528" s="9"/>
      <c r="E528" s="9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9"/>
      <c r="B529" s="9"/>
      <c r="C529" s="9"/>
      <c r="D529" s="9"/>
      <c r="E529" s="9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/>
      <c r="B530" s="9"/>
      <c r="C530" s="9"/>
      <c r="D530" s="9"/>
      <c r="E530" s="9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9"/>
      <c r="B531" s="9"/>
      <c r="C531" s="9"/>
      <c r="D531" s="9"/>
      <c r="E531" s="9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/>
      <c r="B532" s="9"/>
      <c r="C532" s="9"/>
      <c r="D532" s="9"/>
      <c r="E532" s="9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9"/>
      <c r="B533" s="9"/>
      <c r="C533" s="9"/>
      <c r="D533" s="9"/>
      <c r="E533" s="9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/>
      <c r="B534" s="9"/>
      <c r="C534" s="9"/>
      <c r="D534" s="9"/>
      <c r="E534" s="9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9"/>
      <c r="B535" s="9"/>
      <c r="C535" s="9"/>
      <c r="D535" s="9"/>
      <c r="E535" s="9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/>
      <c r="B536" s="9"/>
      <c r="C536" s="9"/>
      <c r="D536" s="9"/>
      <c r="E536" s="9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9"/>
      <c r="B537" s="9"/>
      <c r="C537" s="9"/>
      <c r="D537" s="9"/>
      <c r="E537" s="9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9"/>
      <c r="B538" s="9"/>
      <c r="C538" s="9"/>
      <c r="D538" s="9"/>
      <c r="E538" s="9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9"/>
      <c r="B539" s="9"/>
      <c r="C539" s="9"/>
      <c r="D539" s="9"/>
      <c r="E539" s="9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9"/>
      <c r="B540" s="9"/>
      <c r="C540" s="9"/>
      <c r="D540" s="9"/>
      <c r="E540" s="9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9"/>
      <c r="B541" s="9"/>
      <c r="C541" s="9"/>
      <c r="D541" s="9"/>
      <c r="E541" s="9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9"/>
      <c r="B542" s="9"/>
      <c r="C542" s="9"/>
      <c r="D542" s="9"/>
      <c r="E542" s="9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9"/>
      <c r="B543" s="9"/>
      <c r="C543" s="9"/>
      <c r="D543" s="9"/>
      <c r="E543" s="9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/>
      <c r="B544" s="9"/>
      <c r="C544" s="9"/>
      <c r="D544" s="9"/>
      <c r="E544" s="9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9"/>
      <c r="B545" s="9"/>
      <c r="C545" s="9"/>
      <c r="D545" s="9"/>
      <c r="E545" s="9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9"/>
      <c r="B546" s="9"/>
      <c r="C546" s="9"/>
      <c r="D546" s="9"/>
      <c r="E546" s="9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9"/>
      <c r="B547" s="9"/>
      <c r="C547" s="9"/>
      <c r="D547" s="9"/>
      <c r="E547" s="9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/>
      <c r="B548" s="9"/>
      <c r="C548" s="9"/>
      <c r="D548" s="9"/>
      <c r="E548" s="9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9"/>
      <c r="B549" s="9"/>
      <c r="C549" s="9"/>
      <c r="D549" s="9"/>
      <c r="E549" s="9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/>
      <c r="B550" s="9"/>
      <c r="C550" s="9"/>
      <c r="D550" s="9"/>
      <c r="E550" s="9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9"/>
      <c r="B551" s="9"/>
      <c r="C551" s="9"/>
      <c r="D551" s="9"/>
      <c r="E551" s="9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9"/>
      <c r="B552" s="9"/>
      <c r="C552" s="9"/>
      <c r="D552" s="9"/>
      <c r="E552" s="9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9"/>
      <c r="B553" s="9"/>
      <c r="C553" s="9"/>
      <c r="D553" s="9"/>
      <c r="E553" s="9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/>
      <c r="B554" s="9"/>
      <c r="C554" s="9"/>
      <c r="D554" s="9"/>
      <c r="E554" s="9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9"/>
      <c r="B555" s="9"/>
      <c r="C555" s="9"/>
      <c r="D555" s="9"/>
      <c r="E555" s="9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/>
      <c r="B556" s="9"/>
      <c r="C556" s="9"/>
      <c r="D556" s="9"/>
      <c r="E556" s="9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9"/>
      <c r="B557" s="9"/>
      <c r="C557" s="9"/>
      <c r="D557" s="9"/>
      <c r="E557" s="9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/>
      <c r="B558" s="9"/>
      <c r="C558" s="9"/>
      <c r="D558" s="9"/>
      <c r="E558" s="9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9"/>
      <c r="B559" s="9"/>
      <c r="C559" s="9"/>
      <c r="D559" s="9"/>
      <c r="E559" s="9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/>
      <c r="B560" s="9"/>
      <c r="C560" s="9"/>
      <c r="D560" s="9"/>
      <c r="E560" s="9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9"/>
      <c r="B561" s="9"/>
      <c r="C561" s="9"/>
      <c r="D561" s="9"/>
      <c r="E561" s="9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9"/>
      <c r="B562" s="9"/>
      <c r="C562" s="9"/>
      <c r="D562" s="9"/>
      <c r="E562" s="9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9"/>
      <c r="B563" s="9"/>
      <c r="C563" s="9"/>
      <c r="D563" s="9"/>
      <c r="E563" s="9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/>
      <c r="B564" s="9"/>
      <c r="C564" s="9"/>
      <c r="D564" s="9"/>
      <c r="E564" s="9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9"/>
      <c r="B565" s="9"/>
      <c r="C565" s="9"/>
      <c r="D565" s="9"/>
      <c r="E565" s="9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9"/>
      <c r="B566" s="9"/>
      <c r="C566" s="9"/>
      <c r="D566" s="9"/>
      <c r="E566" s="9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9"/>
      <c r="B567" s="9"/>
      <c r="C567" s="9"/>
      <c r="D567" s="9"/>
      <c r="E567" s="9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/>
      <c r="B568" s="9"/>
      <c r="C568" s="9"/>
      <c r="D568" s="9"/>
      <c r="E568" s="9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9"/>
      <c r="B569" s="9"/>
      <c r="C569" s="9"/>
      <c r="D569" s="9"/>
      <c r="E569" s="9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/>
      <c r="B570" s="9"/>
      <c r="C570" s="9"/>
      <c r="D570" s="9"/>
      <c r="E570" s="9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9"/>
      <c r="B571" s="9"/>
      <c r="C571" s="9"/>
      <c r="D571" s="9"/>
      <c r="E571" s="9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/>
      <c r="B572" s="9"/>
      <c r="C572" s="9"/>
      <c r="D572" s="9"/>
      <c r="E572" s="9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9"/>
      <c r="B573" s="9"/>
      <c r="C573" s="9"/>
      <c r="D573" s="9"/>
      <c r="E573" s="9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/>
      <c r="B574" s="9"/>
      <c r="C574" s="9"/>
      <c r="D574" s="9"/>
      <c r="E574" s="9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9"/>
      <c r="B575" s="9"/>
      <c r="C575" s="9"/>
      <c r="D575" s="9"/>
      <c r="E575" s="9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/>
      <c r="B576" s="9"/>
      <c r="C576" s="9"/>
      <c r="D576" s="9"/>
      <c r="E576" s="9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9"/>
      <c r="B577" s="9"/>
      <c r="C577" s="9"/>
      <c r="D577" s="9"/>
      <c r="E577" s="9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/>
      <c r="B578" s="9"/>
      <c r="C578" s="9"/>
      <c r="D578" s="9"/>
      <c r="E578" s="9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9"/>
      <c r="B579" s="9"/>
      <c r="C579" s="9"/>
      <c r="D579" s="9"/>
      <c r="E579" s="9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/>
      <c r="B580" s="9"/>
      <c r="C580" s="9"/>
      <c r="D580" s="9"/>
      <c r="E580" s="9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9"/>
      <c r="B581" s="9"/>
      <c r="C581" s="9"/>
      <c r="D581" s="9"/>
      <c r="E581" s="9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/>
      <c r="B582" s="9"/>
      <c r="C582" s="9"/>
      <c r="D582" s="9"/>
      <c r="E582" s="9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9"/>
      <c r="B583" s="9"/>
      <c r="C583" s="9"/>
      <c r="D583" s="9"/>
      <c r="E583" s="9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/>
      <c r="B584" s="9"/>
      <c r="C584" s="9"/>
      <c r="D584" s="9"/>
      <c r="E584" s="9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9"/>
      <c r="B585" s="9"/>
      <c r="C585" s="9"/>
      <c r="D585" s="9"/>
      <c r="E585" s="9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/>
      <c r="B586" s="9"/>
      <c r="C586" s="9"/>
      <c r="D586" s="9"/>
      <c r="E586" s="9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9"/>
      <c r="B587" s="9"/>
      <c r="C587" s="9"/>
      <c r="D587" s="9"/>
      <c r="E587" s="9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/>
      <c r="B588" s="9"/>
      <c r="C588" s="9"/>
      <c r="D588" s="9"/>
      <c r="E588" s="9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9"/>
      <c r="B589" s="9"/>
      <c r="C589" s="9"/>
      <c r="D589" s="9"/>
      <c r="E589" s="9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/>
      <c r="B590" s="9"/>
      <c r="C590" s="9"/>
      <c r="D590" s="9"/>
      <c r="E590" s="9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9"/>
      <c r="B591" s="9"/>
      <c r="C591" s="9"/>
      <c r="D591" s="9"/>
      <c r="E591" s="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/>
      <c r="B592" s="9"/>
      <c r="C592" s="9"/>
      <c r="D592" s="9"/>
      <c r="E592" s="9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9"/>
      <c r="B593" s="9"/>
      <c r="C593" s="9"/>
      <c r="D593" s="9"/>
      <c r="E593" s="9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9"/>
      <c r="B594" s="9"/>
      <c r="C594" s="9"/>
      <c r="D594" s="9"/>
      <c r="E594" s="9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9"/>
      <c r="B595" s="9"/>
      <c r="C595" s="9"/>
      <c r="D595" s="9"/>
      <c r="E595" s="9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9"/>
      <c r="B596" s="9"/>
      <c r="C596" s="9"/>
      <c r="D596" s="9"/>
      <c r="E596" s="9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9"/>
      <c r="B597" s="9"/>
      <c r="C597" s="9"/>
      <c r="D597" s="9"/>
      <c r="E597" s="9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/>
      <c r="B598" s="9"/>
      <c r="C598" s="9"/>
      <c r="D598" s="9"/>
      <c r="E598" s="9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9"/>
      <c r="B599" s="9"/>
      <c r="C599" s="9"/>
      <c r="D599" s="9"/>
      <c r="E599" s="9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9"/>
      <c r="B600" s="9"/>
      <c r="C600" s="9"/>
      <c r="D600" s="9"/>
      <c r="E600" s="9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9"/>
      <c r="B601" s="9"/>
      <c r="C601" s="9"/>
      <c r="D601" s="9"/>
      <c r="E601" s="9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9"/>
      <c r="B602" s="9"/>
      <c r="C602" s="9"/>
      <c r="D602" s="9"/>
      <c r="E602" s="9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9"/>
      <c r="B603" s="9"/>
      <c r="C603" s="9"/>
      <c r="D603" s="9"/>
      <c r="E603" s="9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9"/>
      <c r="B604" s="9"/>
      <c r="C604" s="9"/>
      <c r="D604" s="9"/>
      <c r="E604" s="9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9"/>
      <c r="B605" s="9"/>
      <c r="C605" s="9"/>
      <c r="D605" s="9"/>
      <c r="E605" s="9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9"/>
      <c r="B606" s="9"/>
      <c r="C606" s="9"/>
      <c r="D606" s="9"/>
      <c r="E606" s="9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9"/>
      <c r="B607" s="9"/>
      <c r="C607" s="9"/>
      <c r="D607" s="9"/>
      <c r="E607" s="9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/>
      <c r="B608" s="9"/>
      <c r="C608" s="9"/>
      <c r="D608" s="9"/>
      <c r="E608" s="9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9"/>
      <c r="B609" s="9"/>
      <c r="C609" s="9"/>
      <c r="D609" s="9"/>
      <c r="E609" s="9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/>
      <c r="B610" s="9"/>
      <c r="C610" s="9"/>
      <c r="D610" s="9"/>
      <c r="E610" s="9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9"/>
      <c r="B611" s="9"/>
      <c r="C611" s="9"/>
      <c r="D611" s="9"/>
      <c r="E611" s="9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/>
      <c r="B612" s="9"/>
      <c r="C612" s="9"/>
      <c r="D612" s="9"/>
      <c r="E612" s="9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9"/>
      <c r="B613" s="9"/>
      <c r="C613" s="9"/>
      <c r="D613" s="9"/>
      <c r="E613" s="9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/>
      <c r="B614" s="9"/>
      <c r="C614" s="9"/>
      <c r="D614" s="9"/>
      <c r="E614" s="9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9"/>
      <c r="B615" s="9"/>
      <c r="C615" s="9"/>
      <c r="D615" s="9"/>
      <c r="E615" s="9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/>
      <c r="B616" s="9"/>
      <c r="C616" s="9"/>
      <c r="D616" s="9"/>
      <c r="E616" s="9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9"/>
      <c r="B617" s="9"/>
      <c r="C617" s="9"/>
      <c r="D617" s="9"/>
      <c r="E617" s="9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/>
      <c r="B618" s="9"/>
      <c r="C618" s="9"/>
      <c r="D618" s="9"/>
      <c r="E618" s="9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9"/>
      <c r="B619" s="9"/>
      <c r="C619" s="9"/>
      <c r="D619" s="9"/>
      <c r="E619" s="9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/>
      <c r="B620" s="9"/>
      <c r="C620" s="9"/>
      <c r="D620" s="9"/>
      <c r="E620" s="9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9"/>
      <c r="B621" s="9"/>
      <c r="C621" s="9"/>
      <c r="D621" s="9"/>
      <c r="E621" s="9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/>
      <c r="B622" s="9"/>
      <c r="C622" s="9"/>
      <c r="D622" s="9"/>
      <c r="E622" s="9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9"/>
      <c r="B623" s="9"/>
      <c r="C623" s="9"/>
      <c r="D623" s="9"/>
      <c r="E623" s="9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/>
      <c r="B624" s="9"/>
      <c r="C624" s="9"/>
      <c r="D624" s="9"/>
      <c r="E624" s="9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9"/>
      <c r="B625" s="9"/>
      <c r="C625" s="9"/>
      <c r="D625" s="9"/>
      <c r="E625" s="9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/>
      <c r="B626" s="9"/>
      <c r="C626" s="9"/>
      <c r="D626" s="9"/>
      <c r="E626" s="9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9"/>
      <c r="B627" s="9"/>
      <c r="C627" s="9"/>
      <c r="D627" s="9"/>
      <c r="E627" s="9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/>
      <c r="B628" s="9"/>
      <c r="C628" s="9"/>
      <c r="D628" s="9"/>
      <c r="E628" s="9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9"/>
      <c r="B629" s="9"/>
      <c r="C629" s="9"/>
      <c r="D629" s="9"/>
      <c r="E629" s="9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/>
      <c r="B630" s="9"/>
      <c r="C630" s="9"/>
      <c r="D630" s="9"/>
      <c r="E630" s="9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9"/>
      <c r="B631" s="9"/>
      <c r="C631" s="9"/>
      <c r="D631" s="9"/>
      <c r="E631" s="9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/>
      <c r="B632" s="9"/>
      <c r="C632" s="9"/>
      <c r="D632" s="9"/>
      <c r="E632" s="9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9"/>
      <c r="B633" s="9"/>
      <c r="C633" s="9"/>
      <c r="D633" s="9"/>
      <c r="E633" s="9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/>
      <c r="B634" s="9"/>
      <c r="C634" s="9"/>
      <c r="D634" s="9"/>
      <c r="E634" s="9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9"/>
      <c r="B635" s="9"/>
      <c r="C635" s="9"/>
      <c r="D635" s="9"/>
      <c r="E635" s="9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/>
      <c r="B636" s="9"/>
      <c r="C636" s="9"/>
      <c r="D636" s="9"/>
      <c r="E636" s="9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9"/>
      <c r="B637" s="9"/>
      <c r="C637" s="9"/>
      <c r="D637" s="9"/>
      <c r="E637" s="9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9"/>
      <c r="B638" s="9"/>
      <c r="C638" s="9"/>
      <c r="D638" s="9"/>
      <c r="E638" s="9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9"/>
      <c r="B639" s="9"/>
      <c r="C639" s="9"/>
      <c r="D639" s="9"/>
      <c r="E639" s="9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9"/>
      <c r="B640" s="9"/>
      <c r="C640" s="9"/>
      <c r="D640" s="9"/>
      <c r="E640" s="9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9"/>
      <c r="B641" s="9"/>
      <c r="C641" s="9"/>
      <c r="D641" s="9"/>
      <c r="E641" s="9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/>
      <c r="B642" s="9"/>
      <c r="C642" s="9"/>
      <c r="D642" s="9"/>
      <c r="E642" s="9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9"/>
      <c r="B643" s="9"/>
      <c r="C643" s="9"/>
      <c r="D643" s="9"/>
      <c r="E643" s="9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/>
      <c r="B644" s="9"/>
      <c r="C644" s="9"/>
      <c r="D644" s="9"/>
      <c r="E644" s="9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9"/>
      <c r="B645" s="9"/>
      <c r="C645" s="9"/>
      <c r="D645" s="9"/>
      <c r="E645" s="9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/>
      <c r="B646" s="9"/>
      <c r="C646" s="9"/>
      <c r="D646" s="9"/>
      <c r="E646" s="9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9"/>
      <c r="B647" s="9"/>
      <c r="C647" s="9"/>
      <c r="D647" s="9"/>
      <c r="E647" s="9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/>
      <c r="B648" s="9"/>
      <c r="C648" s="9"/>
      <c r="D648" s="9"/>
      <c r="E648" s="9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9"/>
      <c r="B649" s="9"/>
      <c r="C649" s="9"/>
      <c r="D649" s="9"/>
      <c r="E649" s="9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/>
      <c r="B650" s="9"/>
      <c r="C650" s="9"/>
      <c r="D650" s="9"/>
      <c r="E650" s="9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9"/>
      <c r="B651" s="9"/>
      <c r="C651" s="9"/>
      <c r="D651" s="9"/>
      <c r="E651" s="9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/>
      <c r="B652" s="9"/>
      <c r="C652" s="9"/>
      <c r="D652" s="9"/>
      <c r="E652" s="9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9"/>
      <c r="B653" s="9"/>
      <c r="C653" s="9"/>
      <c r="D653" s="9"/>
      <c r="E653" s="9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/>
      <c r="B654" s="9"/>
      <c r="C654" s="9"/>
      <c r="D654" s="9"/>
      <c r="E654" s="9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9"/>
      <c r="B655" s="9"/>
      <c r="C655" s="9"/>
      <c r="D655" s="9"/>
      <c r="E655" s="9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9"/>
      <c r="B656" s="9"/>
      <c r="C656" s="9"/>
      <c r="D656" s="9"/>
      <c r="E656" s="9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9"/>
      <c r="B657" s="9"/>
      <c r="C657" s="9"/>
      <c r="D657" s="9"/>
      <c r="E657" s="9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/>
      <c r="B658" s="9"/>
      <c r="C658" s="9"/>
      <c r="D658" s="9"/>
      <c r="E658" s="9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9"/>
      <c r="B659" s="9"/>
      <c r="C659" s="9"/>
      <c r="D659" s="9"/>
      <c r="E659" s="9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/>
      <c r="B660" s="9"/>
      <c r="C660" s="9"/>
      <c r="D660" s="9"/>
      <c r="E660" s="9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9"/>
      <c r="B661" s="9"/>
      <c r="C661" s="9"/>
      <c r="D661" s="9"/>
      <c r="E661" s="9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/>
      <c r="B662" s="9"/>
      <c r="C662" s="9"/>
      <c r="D662" s="9"/>
      <c r="E662" s="9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9"/>
      <c r="B663" s="9"/>
      <c r="C663" s="9"/>
      <c r="D663" s="9"/>
      <c r="E663" s="9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/>
      <c r="B664" s="9"/>
      <c r="C664" s="9"/>
      <c r="D664" s="9"/>
      <c r="E664" s="9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9"/>
      <c r="B665" s="9"/>
      <c r="C665" s="9"/>
      <c r="D665" s="9"/>
      <c r="E665" s="9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/>
      <c r="B666" s="9"/>
      <c r="C666" s="9"/>
      <c r="D666" s="9"/>
      <c r="E666" s="9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9"/>
      <c r="B667" s="9"/>
      <c r="C667" s="9"/>
      <c r="D667" s="9"/>
      <c r="E667" s="9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/>
      <c r="B668" s="9"/>
      <c r="C668" s="9"/>
      <c r="D668" s="9"/>
      <c r="E668" s="9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9"/>
      <c r="B669" s="9"/>
      <c r="C669" s="9"/>
      <c r="D669" s="9"/>
      <c r="E669" s="9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/>
      <c r="B670" s="9"/>
      <c r="C670" s="9"/>
      <c r="D670" s="9"/>
      <c r="E670" s="9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9"/>
      <c r="B671" s="9"/>
      <c r="C671" s="9"/>
      <c r="D671" s="9"/>
      <c r="E671" s="9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/>
      <c r="B672" s="9"/>
      <c r="C672" s="9"/>
      <c r="D672" s="9"/>
      <c r="E672" s="9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9"/>
      <c r="B673" s="9"/>
      <c r="C673" s="9"/>
      <c r="D673" s="9"/>
      <c r="E673" s="9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/>
      <c r="B674" s="9"/>
      <c r="C674" s="9"/>
      <c r="D674" s="9"/>
      <c r="E674" s="9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9"/>
      <c r="B675" s="9"/>
      <c r="C675" s="9"/>
      <c r="D675" s="9"/>
      <c r="E675" s="9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/>
      <c r="B676" s="9"/>
      <c r="C676" s="9"/>
      <c r="D676" s="9"/>
      <c r="E676" s="9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9"/>
      <c r="B677" s="9"/>
      <c r="C677" s="9"/>
      <c r="D677" s="9"/>
      <c r="E677" s="9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/>
      <c r="B678" s="9"/>
      <c r="C678" s="9"/>
      <c r="D678" s="9"/>
      <c r="E678" s="9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9"/>
      <c r="B679" s="9"/>
      <c r="C679" s="9"/>
      <c r="D679" s="9"/>
      <c r="E679" s="9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/>
      <c r="B680" s="9"/>
      <c r="C680" s="9"/>
      <c r="D680" s="9"/>
      <c r="E680" s="9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9"/>
      <c r="B681" s="9"/>
      <c r="C681" s="9"/>
      <c r="D681" s="9"/>
      <c r="E681" s="9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/>
      <c r="B682" s="9"/>
      <c r="C682" s="9"/>
      <c r="D682" s="9"/>
      <c r="E682" s="9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9"/>
      <c r="B683" s="9"/>
      <c r="C683" s="9"/>
      <c r="D683" s="9"/>
      <c r="E683" s="9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/>
      <c r="B684" s="9"/>
      <c r="C684" s="9"/>
      <c r="D684" s="9"/>
      <c r="E684" s="9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9"/>
      <c r="B685" s="9"/>
      <c r="C685" s="9"/>
      <c r="D685" s="9"/>
      <c r="E685" s="9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/>
      <c r="B686" s="9"/>
      <c r="C686" s="9"/>
      <c r="D686" s="9"/>
      <c r="E686" s="9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9"/>
      <c r="B687" s="9"/>
      <c r="C687" s="9"/>
      <c r="D687" s="9"/>
      <c r="E687" s="9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/>
      <c r="B688" s="9"/>
      <c r="C688" s="9"/>
      <c r="D688" s="9"/>
      <c r="E688" s="9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9"/>
      <c r="B689" s="9"/>
      <c r="C689" s="9"/>
      <c r="D689" s="9"/>
      <c r="E689" s="9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/>
      <c r="B690" s="9"/>
      <c r="C690" s="9"/>
      <c r="D690" s="9"/>
      <c r="E690" s="9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9"/>
      <c r="B691" s="9"/>
      <c r="C691" s="9"/>
      <c r="D691" s="9"/>
      <c r="E691" s="9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/>
      <c r="B692" s="9"/>
      <c r="C692" s="9"/>
      <c r="D692" s="9"/>
      <c r="E692" s="9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9"/>
      <c r="B693" s="9"/>
      <c r="C693" s="9"/>
      <c r="D693" s="9"/>
      <c r="E693" s="9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/>
      <c r="B694" s="9"/>
      <c r="C694" s="9"/>
      <c r="D694" s="9"/>
      <c r="E694" s="9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9"/>
      <c r="B695" s="9"/>
      <c r="C695" s="9"/>
      <c r="D695" s="9"/>
      <c r="E695" s="9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/>
      <c r="B696" s="9"/>
      <c r="C696" s="9"/>
      <c r="D696" s="9"/>
      <c r="E696" s="9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9"/>
      <c r="B697" s="9"/>
      <c r="C697" s="9"/>
      <c r="D697" s="9"/>
      <c r="E697" s="9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/>
      <c r="B698" s="9"/>
      <c r="C698" s="9"/>
      <c r="D698" s="9"/>
      <c r="E698" s="9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9"/>
      <c r="B699" s="9"/>
      <c r="C699" s="9"/>
      <c r="D699" s="9"/>
      <c r="E699" s="9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/>
      <c r="B700" s="9"/>
      <c r="C700" s="9"/>
      <c r="D700" s="9"/>
      <c r="E700" s="9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9"/>
      <c r="B701" s="9"/>
      <c r="C701" s="9"/>
      <c r="D701" s="9"/>
      <c r="E701" s="9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/>
      <c r="B702" s="9"/>
      <c r="C702" s="9"/>
      <c r="D702" s="9"/>
      <c r="E702" s="9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9"/>
      <c r="B703" s="9"/>
      <c r="C703" s="9"/>
      <c r="D703" s="9"/>
      <c r="E703" s="9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/>
      <c r="B704" s="9"/>
      <c r="C704" s="9"/>
      <c r="D704" s="9"/>
      <c r="E704" s="9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9"/>
      <c r="B705" s="9"/>
      <c r="C705" s="9"/>
      <c r="D705" s="9"/>
      <c r="E705" s="9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/>
      <c r="B706" s="9"/>
      <c r="C706" s="9"/>
      <c r="D706" s="9"/>
      <c r="E706" s="9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9"/>
      <c r="B707" s="9"/>
      <c r="C707" s="9"/>
      <c r="D707" s="9"/>
      <c r="E707" s="9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/>
      <c r="B708" s="9"/>
      <c r="C708" s="9"/>
      <c r="D708" s="9"/>
      <c r="E708" s="9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9"/>
      <c r="B709" s="9"/>
      <c r="C709" s="9"/>
      <c r="D709" s="9"/>
      <c r="E709" s="9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/>
      <c r="B710" s="9"/>
      <c r="C710" s="9"/>
      <c r="D710" s="9"/>
      <c r="E710" s="9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9"/>
      <c r="B711" s="9"/>
      <c r="C711" s="9"/>
      <c r="D711" s="9"/>
      <c r="E711" s="9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/>
      <c r="B712" s="9"/>
      <c r="C712" s="9"/>
      <c r="D712" s="9"/>
      <c r="E712" s="9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9"/>
      <c r="B713" s="9"/>
      <c r="C713" s="9"/>
      <c r="D713" s="9"/>
      <c r="E713" s="9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/>
      <c r="B714" s="9"/>
      <c r="C714" s="9"/>
      <c r="D714" s="9"/>
      <c r="E714" s="9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9"/>
      <c r="B715" s="9"/>
      <c r="C715" s="9"/>
      <c r="D715" s="9"/>
      <c r="E715" s="9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/>
      <c r="B716" s="9"/>
      <c r="C716" s="9"/>
      <c r="D716" s="9"/>
      <c r="E716" s="9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9"/>
      <c r="B717" s="9"/>
      <c r="C717" s="9"/>
      <c r="D717" s="9"/>
      <c r="E717" s="9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/>
      <c r="B718" s="9"/>
      <c r="C718" s="9"/>
      <c r="D718" s="9"/>
      <c r="E718" s="9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9"/>
      <c r="B719" s="9"/>
      <c r="C719" s="9"/>
      <c r="D719" s="9"/>
      <c r="E719" s="9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/>
      <c r="B720" s="9"/>
      <c r="C720" s="9"/>
      <c r="D720" s="9"/>
      <c r="E720" s="9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9"/>
      <c r="B721" s="9"/>
      <c r="C721" s="9"/>
      <c r="D721" s="9"/>
      <c r="E721" s="9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/>
      <c r="B722" s="9"/>
      <c r="C722" s="9"/>
      <c r="D722" s="9"/>
      <c r="E722" s="9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9"/>
      <c r="B723" s="9"/>
      <c r="C723" s="9"/>
      <c r="D723" s="9"/>
      <c r="E723" s="9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/>
      <c r="B724" s="9"/>
      <c r="C724" s="9"/>
      <c r="D724" s="9"/>
      <c r="E724" s="9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9"/>
      <c r="B725" s="9"/>
      <c r="C725" s="9"/>
      <c r="D725" s="9"/>
      <c r="E725" s="9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/>
      <c r="B726" s="9"/>
      <c r="C726" s="9"/>
      <c r="D726" s="9"/>
      <c r="E726" s="9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9"/>
      <c r="B727" s="9"/>
      <c r="C727" s="9"/>
      <c r="D727" s="9"/>
      <c r="E727" s="9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/>
      <c r="B728" s="9"/>
      <c r="C728" s="9"/>
      <c r="D728" s="9"/>
      <c r="E728" s="9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9"/>
      <c r="B729" s="9"/>
      <c r="C729" s="9"/>
      <c r="D729" s="9"/>
      <c r="E729" s="9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/>
      <c r="B730" s="9"/>
      <c r="C730" s="9"/>
      <c r="D730" s="9"/>
      <c r="E730" s="9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9"/>
      <c r="B731" s="9"/>
      <c r="C731" s="9"/>
      <c r="D731" s="9"/>
      <c r="E731" s="9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/>
      <c r="B732" s="9"/>
      <c r="C732" s="9"/>
      <c r="D732" s="9"/>
      <c r="E732" s="9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9"/>
      <c r="B733" s="9"/>
      <c r="C733" s="9"/>
      <c r="D733" s="9"/>
      <c r="E733" s="9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/>
      <c r="B734" s="9"/>
      <c r="C734" s="9"/>
      <c r="D734" s="9"/>
      <c r="E734" s="9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9"/>
      <c r="B735" s="9"/>
      <c r="C735" s="9"/>
      <c r="D735" s="9"/>
      <c r="E735" s="9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/>
      <c r="B736" s="9"/>
      <c r="C736" s="9"/>
      <c r="D736" s="9"/>
      <c r="E736" s="9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9"/>
      <c r="B737" s="9"/>
      <c r="C737" s="9"/>
      <c r="D737" s="9"/>
      <c r="E737" s="9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/>
      <c r="B738" s="9"/>
      <c r="C738" s="9"/>
      <c r="D738" s="9"/>
      <c r="E738" s="9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9"/>
      <c r="B739" s="9"/>
      <c r="C739" s="9"/>
      <c r="D739" s="9"/>
      <c r="E739" s="9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/>
      <c r="B740" s="9"/>
      <c r="C740" s="9"/>
      <c r="D740" s="9"/>
      <c r="E740" s="9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9"/>
      <c r="B741" s="9"/>
      <c r="C741" s="9"/>
      <c r="D741" s="9"/>
      <c r="E741" s="9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9"/>
      <c r="B742" s="9"/>
      <c r="C742" s="9"/>
      <c r="D742" s="9"/>
      <c r="E742" s="9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9"/>
      <c r="B743" s="9"/>
      <c r="C743" s="9"/>
      <c r="D743" s="9"/>
      <c r="E743" s="9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9"/>
      <c r="B744" s="9"/>
      <c r="C744" s="9"/>
      <c r="D744" s="9"/>
      <c r="E744" s="9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9"/>
      <c r="B745" s="9"/>
      <c r="C745" s="9"/>
      <c r="D745" s="9"/>
      <c r="E745" s="9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/>
      <c r="B746" s="9"/>
      <c r="C746" s="9"/>
      <c r="D746" s="9"/>
      <c r="E746" s="9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9"/>
      <c r="B747" s="9"/>
      <c r="C747" s="9"/>
      <c r="D747" s="9"/>
      <c r="E747" s="9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/>
      <c r="B748" s="9"/>
      <c r="C748" s="9"/>
      <c r="D748" s="9"/>
      <c r="E748" s="9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9"/>
      <c r="B749" s="9"/>
      <c r="C749" s="9"/>
      <c r="D749" s="9"/>
      <c r="E749" s="9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9"/>
      <c r="B750" s="9"/>
      <c r="C750" s="9"/>
      <c r="D750" s="9"/>
      <c r="E750" s="9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9"/>
      <c r="B751" s="9"/>
      <c r="C751" s="9"/>
      <c r="D751" s="9"/>
      <c r="E751" s="9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/>
      <c r="B752" s="9"/>
      <c r="C752" s="9"/>
      <c r="D752" s="9"/>
      <c r="E752" s="9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9"/>
      <c r="B753" s="9"/>
      <c r="C753" s="9"/>
      <c r="D753" s="9"/>
      <c r="E753" s="9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/>
      <c r="B754" s="9"/>
      <c r="C754" s="9"/>
      <c r="D754" s="9"/>
      <c r="E754" s="9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9"/>
      <c r="B755" s="9"/>
      <c r="C755" s="9"/>
      <c r="D755" s="9"/>
      <c r="E755" s="9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9"/>
      <c r="B756" s="9"/>
      <c r="C756" s="9"/>
      <c r="D756" s="9"/>
      <c r="E756" s="9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9"/>
      <c r="B757" s="9"/>
      <c r="C757" s="9"/>
      <c r="D757" s="9"/>
      <c r="E757" s="9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/>
      <c r="B758" s="9"/>
      <c r="C758" s="9"/>
      <c r="D758" s="9"/>
      <c r="E758" s="9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9"/>
      <c r="B759" s="9"/>
      <c r="C759" s="9"/>
      <c r="D759" s="9"/>
      <c r="E759" s="9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/>
      <c r="B760" s="9"/>
      <c r="C760" s="9"/>
      <c r="D760" s="9"/>
      <c r="E760" s="9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9"/>
      <c r="B761" s="9"/>
      <c r="C761" s="9"/>
      <c r="D761" s="9"/>
      <c r="E761" s="9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/>
      <c r="B762" s="9"/>
      <c r="C762" s="9"/>
      <c r="D762" s="9"/>
      <c r="E762" s="9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9"/>
      <c r="B763" s="9"/>
      <c r="C763" s="9"/>
      <c r="D763" s="9"/>
      <c r="E763" s="9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/>
      <c r="B764" s="9"/>
      <c r="C764" s="9"/>
      <c r="D764" s="9"/>
      <c r="E764" s="9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9"/>
      <c r="B765" s="9"/>
      <c r="C765" s="9"/>
      <c r="D765" s="9"/>
      <c r="E765" s="9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9"/>
      <c r="B766" s="9"/>
      <c r="C766" s="9"/>
      <c r="D766" s="9"/>
      <c r="E766" s="9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9"/>
      <c r="B767" s="9"/>
      <c r="C767" s="9"/>
      <c r="D767" s="9"/>
      <c r="E767" s="9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9"/>
      <c r="B768" s="9"/>
      <c r="C768" s="9"/>
      <c r="D768" s="9"/>
      <c r="E768" s="9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9"/>
      <c r="B769" s="9"/>
      <c r="C769" s="9"/>
      <c r="D769" s="9"/>
      <c r="E769" s="9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9"/>
      <c r="B770" s="9"/>
      <c r="C770" s="9"/>
      <c r="D770" s="9"/>
      <c r="E770" s="9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9"/>
      <c r="B771" s="9"/>
      <c r="C771" s="9"/>
      <c r="D771" s="9"/>
      <c r="E771" s="9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/>
      <c r="B772" s="9"/>
      <c r="C772" s="9"/>
      <c r="D772" s="9"/>
      <c r="E772" s="9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9"/>
      <c r="B773" s="9"/>
      <c r="C773" s="9"/>
      <c r="D773" s="9"/>
      <c r="E773" s="9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/>
      <c r="B774" s="9"/>
      <c r="C774" s="9"/>
      <c r="D774" s="9"/>
      <c r="E774" s="9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9"/>
      <c r="B775" s="9"/>
      <c r="C775" s="9"/>
      <c r="D775" s="9"/>
      <c r="E775" s="9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/>
      <c r="B776" s="9"/>
      <c r="C776" s="9"/>
      <c r="D776" s="9"/>
      <c r="E776" s="9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9"/>
      <c r="B777" s="9"/>
      <c r="C777" s="9"/>
      <c r="D777" s="9"/>
      <c r="E777" s="9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/>
      <c r="B778" s="9"/>
      <c r="C778" s="9"/>
      <c r="D778" s="9"/>
      <c r="E778" s="9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9"/>
      <c r="B779" s="9"/>
      <c r="C779" s="9"/>
      <c r="D779" s="9"/>
      <c r="E779" s="9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/>
      <c r="B780" s="9"/>
      <c r="C780" s="9"/>
      <c r="D780" s="9"/>
      <c r="E780" s="9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9"/>
      <c r="B781" s="9"/>
      <c r="C781" s="9"/>
      <c r="D781" s="9"/>
      <c r="E781" s="9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/>
      <c r="B782" s="9"/>
      <c r="C782" s="9"/>
      <c r="D782" s="9"/>
      <c r="E782" s="9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9"/>
      <c r="B783" s="9"/>
      <c r="C783" s="9"/>
      <c r="D783" s="9"/>
      <c r="E783" s="9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9"/>
      <c r="B784" s="9"/>
      <c r="C784" s="9"/>
      <c r="D784" s="9"/>
      <c r="E784" s="9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9"/>
      <c r="B785" s="9"/>
      <c r="C785" s="9"/>
      <c r="D785" s="9"/>
      <c r="E785" s="9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/>
      <c r="B786" s="9"/>
      <c r="C786" s="9"/>
      <c r="D786" s="9"/>
      <c r="E786" s="9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9"/>
      <c r="B787" s="9"/>
      <c r="C787" s="9"/>
      <c r="D787" s="9"/>
      <c r="E787" s="9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/>
      <c r="B788" s="9"/>
      <c r="C788" s="9"/>
      <c r="D788" s="9"/>
      <c r="E788" s="9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9"/>
      <c r="B789" s="9"/>
      <c r="C789" s="9"/>
      <c r="D789" s="9"/>
      <c r="E789" s="9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/>
      <c r="B790" s="9"/>
      <c r="C790" s="9"/>
      <c r="D790" s="9"/>
      <c r="E790" s="9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9"/>
      <c r="B791" s="9"/>
      <c r="C791" s="9"/>
      <c r="D791" s="9"/>
      <c r="E791" s="9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/>
      <c r="B792" s="9"/>
      <c r="C792" s="9"/>
      <c r="D792" s="9"/>
      <c r="E792" s="9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9"/>
      <c r="B793" s="9"/>
      <c r="C793" s="9"/>
      <c r="D793" s="9"/>
      <c r="E793" s="9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/>
      <c r="B794" s="9"/>
      <c r="C794" s="9"/>
      <c r="D794" s="9"/>
      <c r="E794" s="9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9"/>
      <c r="B795" s="9"/>
      <c r="C795" s="9"/>
      <c r="D795" s="9"/>
      <c r="E795" s="9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/>
      <c r="B796" s="9"/>
      <c r="C796" s="9"/>
      <c r="D796" s="9"/>
      <c r="E796" s="9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9"/>
      <c r="B797" s="9"/>
      <c r="C797" s="9"/>
      <c r="D797" s="9"/>
      <c r="E797" s="9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/>
      <c r="B798" s="9"/>
      <c r="C798" s="9"/>
      <c r="D798" s="9"/>
      <c r="E798" s="9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9"/>
      <c r="B799" s="9"/>
      <c r="C799" s="9"/>
      <c r="D799" s="9"/>
      <c r="E799" s="9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/>
      <c r="B800" s="9"/>
      <c r="C800" s="9"/>
      <c r="D800" s="9"/>
      <c r="E800" s="9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9"/>
      <c r="B801" s="9"/>
      <c r="C801" s="9"/>
      <c r="D801" s="9"/>
      <c r="E801" s="9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/>
      <c r="B802" s="9"/>
      <c r="C802" s="9"/>
      <c r="D802" s="9"/>
      <c r="E802" s="9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9"/>
      <c r="B803" s="9"/>
      <c r="C803" s="9"/>
      <c r="D803" s="9"/>
      <c r="E803" s="9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/>
      <c r="B804" s="9"/>
      <c r="C804" s="9"/>
      <c r="D804" s="9"/>
      <c r="E804" s="9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9"/>
      <c r="B805" s="9"/>
      <c r="C805" s="9"/>
      <c r="D805" s="9"/>
      <c r="E805" s="9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/>
      <c r="B806" s="9"/>
      <c r="C806" s="9"/>
      <c r="D806" s="9"/>
      <c r="E806" s="9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9"/>
      <c r="B807" s="9"/>
      <c r="C807" s="9"/>
      <c r="D807" s="9"/>
      <c r="E807" s="9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/>
      <c r="B808" s="9"/>
      <c r="C808" s="9"/>
      <c r="D808" s="9"/>
      <c r="E808" s="9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9"/>
      <c r="B809" s="9"/>
      <c r="C809" s="9"/>
      <c r="D809" s="9"/>
      <c r="E809" s="9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/>
      <c r="B810" s="9"/>
      <c r="C810" s="9"/>
      <c r="D810" s="9"/>
      <c r="E810" s="9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9"/>
      <c r="B811" s="9"/>
      <c r="C811" s="9"/>
      <c r="D811" s="9"/>
      <c r="E811" s="9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/>
      <c r="B812" s="9"/>
      <c r="C812" s="9"/>
      <c r="D812" s="9"/>
      <c r="E812" s="9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9"/>
      <c r="B813" s="9"/>
      <c r="C813" s="9"/>
      <c r="D813" s="9"/>
      <c r="E813" s="9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/>
      <c r="B814" s="9"/>
      <c r="C814" s="9"/>
      <c r="D814" s="9"/>
      <c r="E814" s="9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9"/>
      <c r="B815" s="9"/>
      <c r="C815" s="9"/>
      <c r="D815" s="9"/>
      <c r="E815" s="9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/>
      <c r="B816" s="9"/>
      <c r="C816" s="9"/>
      <c r="D816" s="9"/>
      <c r="E816" s="9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9"/>
      <c r="B817" s="9"/>
      <c r="C817" s="9"/>
      <c r="D817" s="9"/>
      <c r="E817" s="9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/>
      <c r="B818" s="9"/>
      <c r="C818" s="9"/>
      <c r="D818" s="9"/>
      <c r="E818" s="9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9"/>
      <c r="B819" s="9"/>
      <c r="C819" s="9"/>
      <c r="D819" s="9"/>
      <c r="E819" s="9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/>
      <c r="B820" s="9"/>
      <c r="C820" s="9"/>
      <c r="D820" s="9"/>
      <c r="E820" s="9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9"/>
      <c r="B821" s="9"/>
      <c r="C821" s="9"/>
      <c r="D821" s="9"/>
      <c r="E821" s="9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/>
      <c r="B822" s="9"/>
      <c r="C822" s="9"/>
      <c r="D822" s="9"/>
      <c r="E822" s="9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9"/>
      <c r="B823" s="9"/>
      <c r="C823" s="9"/>
      <c r="D823" s="9"/>
      <c r="E823" s="9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/>
      <c r="B824" s="9"/>
      <c r="C824" s="9"/>
      <c r="D824" s="9"/>
      <c r="E824" s="9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9"/>
      <c r="B825" s="9"/>
      <c r="C825" s="9"/>
      <c r="D825" s="9"/>
      <c r="E825" s="9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/>
      <c r="B826" s="9"/>
      <c r="C826" s="9"/>
      <c r="D826" s="9"/>
      <c r="E826" s="9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9"/>
      <c r="B827" s="9"/>
      <c r="C827" s="9"/>
      <c r="D827" s="9"/>
      <c r="E827" s="9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/>
      <c r="B828" s="9"/>
      <c r="C828" s="9"/>
      <c r="D828" s="9"/>
      <c r="E828" s="9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9"/>
      <c r="B829" s="9"/>
      <c r="C829" s="9"/>
      <c r="D829" s="9"/>
      <c r="E829" s="9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/>
      <c r="B830" s="9"/>
      <c r="C830" s="9"/>
      <c r="D830" s="9"/>
      <c r="E830" s="9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9"/>
      <c r="B831" s="9"/>
      <c r="C831" s="9"/>
      <c r="D831" s="9"/>
      <c r="E831" s="9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/>
      <c r="B832" s="9"/>
      <c r="C832" s="9"/>
      <c r="D832" s="9"/>
      <c r="E832" s="9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9"/>
      <c r="B833" s="9"/>
      <c r="C833" s="9"/>
      <c r="D833" s="9"/>
      <c r="E833" s="9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/>
      <c r="B834" s="9"/>
      <c r="C834" s="9"/>
      <c r="D834" s="9"/>
      <c r="E834" s="9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9"/>
      <c r="B835" s="9"/>
      <c r="C835" s="9"/>
      <c r="D835" s="9"/>
      <c r="E835" s="9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/>
      <c r="B836" s="9"/>
      <c r="C836" s="9"/>
      <c r="D836" s="9"/>
      <c r="E836" s="9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9"/>
      <c r="B837" s="9"/>
      <c r="C837" s="9"/>
      <c r="D837" s="9"/>
      <c r="E837" s="9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/>
      <c r="B838" s="9"/>
      <c r="C838" s="9"/>
      <c r="D838" s="9"/>
      <c r="E838" s="9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9"/>
      <c r="B839" s="9"/>
      <c r="C839" s="9"/>
      <c r="D839" s="9"/>
      <c r="E839" s="9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/>
      <c r="B840" s="9"/>
      <c r="C840" s="9"/>
      <c r="D840" s="9"/>
      <c r="E840" s="9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9"/>
      <c r="B841" s="9"/>
      <c r="C841" s="9"/>
      <c r="D841" s="9"/>
      <c r="E841" s="9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/>
      <c r="B842" s="9"/>
      <c r="C842" s="9"/>
      <c r="D842" s="9"/>
      <c r="E842" s="9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9"/>
      <c r="B843" s="9"/>
      <c r="C843" s="9"/>
      <c r="D843" s="9"/>
      <c r="E843" s="9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/>
      <c r="B844" s="9"/>
      <c r="C844" s="9"/>
      <c r="D844" s="9"/>
      <c r="E844" s="9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9"/>
      <c r="B845" s="9"/>
      <c r="C845" s="9"/>
      <c r="D845" s="9"/>
      <c r="E845" s="9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/>
      <c r="B846" s="9"/>
      <c r="C846" s="9"/>
      <c r="D846" s="9"/>
      <c r="E846" s="9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9"/>
      <c r="B847" s="9"/>
      <c r="C847" s="9"/>
      <c r="D847" s="9"/>
      <c r="E847" s="9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/>
      <c r="B848" s="9"/>
      <c r="C848" s="9"/>
      <c r="D848" s="9"/>
      <c r="E848" s="9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9"/>
      <c r="B849" s="9"/>
      <c r="C849" s="9"/>
      <c r="D849" s="9"/>
      <c r="E849" s="9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/>
      <c r="B850" s="9"/>
      <c r="C850" s="9"/>
      <c r="D850" s="9"/>
      <c r="E850" s="9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9"/>
      <c r="B851" s="9"/>
      <c r="C851" s="9"/>
      <c r="D851" s="9"/>
      <c r="E851" s="9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/>
      <c r="B852" s="9"/>
      <c r="C852" s="9"/>
      <c r="D852" s="9"/>
      <c r="E852" s="9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9"/>
      <c r="B853" s="9"/>
      <c r="C853" s="9"/>
      <c r="D853" s="9"/>
      <c r="E853" s="9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/>
      <c r="B854" s="9"/>
      <c r="C854" s="9"/>
      <c r="D854" s="9"/>
      <c r="E854" s="9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9"/>
      <c r="B855" s="9"/>
      <c r="C855" s="9"/>
      <c r="D855" s="9"/>
      <c r="E855" s="9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/>
      <c r="B856" s="9"/>
      <c r="C856" s="9"/>
      <c r="D856" s="9"/>
      <c r="E856" s="9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9"/>
      <c r="B857" s="9"/>
      <c r="C857" s="9"/>
      <c r="D857" s="9"/>
      <c r="E857" s="9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/>
      <c r="B858" s="9"/>
      <c r="C858" s="9"/>
      <c r="D858" s="9"/>
      <c r="E858" s="9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9"/>
      <c r="B859" s="9"/>
      <c r="C859" s="9"/>
      <c r="D859" s="9"/>
      <c r="E859" s="9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/>
      <c r="B860" s="9"/>
      <c r="C860" s="9"/>
      <c r="D860" s="9"/>
      <c r="E860" s="9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9"/>
      <c r="B861" s="9"/>
      <c r="C861" s="9"/>
      <c r="D861" s="9"/>
      <c r="E861" s="9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/>
      <c r="B862" s="9"/>
      <c r="C862" s="9"/>
      <c r="D862" s="9"/>
      <c r="E862" s="9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9"/>
      <c r="B863" s="9"/>
      <c r="C863" s="9"/>
      <c r="D863" s="9"/>
      <c r="E863" s="9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/>
      <c r="B864" s="9"/>
      <c r="C864" s="9"/>
      <c r="D864" s="9"/>
      <c r="E864" s="9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9"/>
      <c r="B865" s="9"/>
      <c r="C865" s="9"/>
      <c r="D865" s="9"/>
      <c r="E865" s="9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/>
      <c r="B866" s="9"/>
      <c r="C866" s="9"/>
      <c r="D866" s="9"/>
      <c r="E866" s="9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9"/>
      <c r="B867" s="9"/>
      <c r="C867" s="9"/>
      <c r="D867" s="9"/>
      <c r="E867" s="9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/>
      <c r="B868" s="9"/>
      <c r="C868" s="9"/>
      <c r="D868" s="9"/>
      <c r="E868" s="9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9"/>
      <c r="B869" s="9"/>
      <c r="C869" s="9"/>
      <c r="D869" s="9"/>
      <c r="E869" s="9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/>
      <c r="B870" s="9"/>
      <c r="C870" s="9"/>
      <c r="D870" s="9"/>
      <c r="E870" s="9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9"/>
      <c r="B871" s="9"/>
      <c r="C871" s="9"/>
      <c r="D871" s="9"/>
      <c r="E871" s="9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/>
      <c r="B872" s="9"/>
      <c r="C872" s="9"/>
      <c r="D872" s="9"/>
      <c r="E872" s="9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9"/>
      <c r="B873" s="9"/>
      <c r="C873" s="9"/>
      <c r="D873" s="9"/>
      <c r="E873" s="9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/>
      <c r="B874" s="9"/>
      <c r="C874" s="9"/>
      <c r="D874" s="9"/>
      <c r="E874" s="9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9"/>
      <c r="B875" s="9"/>
      <c r="C875" s="9"/>
      <c r="D875" s="9"/>
      <c r="E875" s="9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/>
      <c r="B876" s="9"/>
      <c r="C876" s="9"/>
      <c r="D876" s="9"/>
      <c r="E876" s="9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9"/>
      <c r="B877" s="9"/>
      <c r="C877" s="9"/>
      <c r="D877" s="9"/>
      <c r="E877" s="9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/>
      <c r="B878" s="9"/>
      <c r="C878" s="9"/>
      <c r="D878" s="9"/>
      <c r="E878" s="9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9"/>
      <c r="B879" s="9"/>
      <c r="C879" s="9"/>
      <c r="D879" s="9"/>
      <c r="E879" s="9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/>
      <c r="B880" s="9"/>
      <c r="C880" s="9"/>
      <c r="D880" s="9"/>
      <c r="E880" s="9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9"/>
      <c r="B881" s="9"/>
      <c r="C881" s="9"/>
      <c r="D881" s="9"/>
      <c r="E881" s="9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/>
      <c r="B882" s="9"/>
      <c r="C882" s="9"/>
      <c r="D882" s="9"/>
      <c r="E882" s="9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9"/>
      <c r="B883" s="9"/>
      <c r="C883" s="9"/>
      <c r="D883" s="9"/>
      <c r="E883" s="9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9"/>
      <c r="B884" s="9"/>
      <c r="C884" s="9"/>
      <c r="D884" s="9"/>
      <c r="E884" s="9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9"/>
      <c r="B885" s="9"/>
      <c r="C885" s="9"/>
      <c r="D885" s="9"/>
      <c r="E885" s="9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/>
      <c r="B886" s="9"/>
      <c r="C886" s="9"/>
      <c r="D886" s="9"/>
      <c r="E886" s="9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9"/>
      <c r="B887" s="9"/>
      <c r="C887" s="9"/>
      <c r="D887" s="9"/>
      <c r="E887" s="9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/>
      <c r="B888" s="9"/>
      <c r="C888" s="9"/>
      <c r="D888" s="9"/>
      <c r="E888" s="9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9"/>
      <c r="B889" s="9"/>
      <c r="C889" s="9"/>
      <c r="D889" s="9"/>
      <c r="E889" s="9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/>
      <c r="B890" s="9"/>
      <c r="C890" s="9"/>
      <c r="D890" s="9"/>
      <c r="E890" s="9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9"/>
      <c r="B891" s="9"/>
      <c r="C891" s="9"/>
      <c r="D891" s="9"/>
      <c r="E891" s="9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/>
      <c r="B892" s="9"/>
      <c r="C892" s="9"/>
      <c r="D892" s="9"/>
      <c r="E892" s="9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9"/>
      <c r="B893" s="9"/>
      <c r="C893" s="9"/>
      <c r="D893" s="9"/>
      <c r="E893" s="9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/>
      <c r="B894" s="9"/>
      <c r="C894" s="9"/>
      <c r="D894" s="9"/>
      <c r="E894" s="9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9"/>
      <c r="B895" s="9"/>
      <c r="C895" s="9"/>
      <c r="D895" s="9"/>
      <c r="E895" s="9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/>
      <c r="B896" s="9"/>
      <c r="C896" s="9"/>
      <c r="D896" s="9"/>
      <c r="E896" s="9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9"/>
      <c r="B897" s="9"/>
      <c r="C897" s="9"/>
      <c r="D897" s="9"/>
      <c r="E897" s="9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/>
      <c r="B898" s="9"/>
      <c r="C898" s="9"/>
      <c r="D898" s="9"/>
      <c r="E898" s="9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9"/>
      <c r="B899" s="9"/>
      <c r="C899" s="9"/>
      <c r="D899" s="9"/>
      <c r="E899" s="9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9"/>
      <c r="B900" s="9"/>
      <c r="C900" s="9"/>
      <c r="D900" s="9"/>
      <c r="E900" s="9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9"/>
      <c r="B901" s="9"/>
      <c r="C901" s="9"/>
      <c r="D901" s="9"/>
      <c r="E901" s="9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9"/>
      <c r="B902" s="9"/>
      <c r="C902" s="9"/>
      <c r="D902" s="9"/>
      <c r="E902" s="9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9"/>
      <c r="B903" s="9"/>
      <c r="C903" s="9"/>
      <c r="D903" s="9"/>
      <c r="E903" s="9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9"/>
      <c r="B904" s="9"/>
      <c r="C904" s="9"/>
      <c r="D904" s="9"/>
      <c r="E904" s="9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9"/>
      <c r="B905" s="9"/>
      <c r="C905" s="9"/>
      <c r="D905" s="9"/>
      <c r="E905" s="9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9"/>
      <c r="B906" s="9"/>
      <c r="C906" s="9"/>
      <c r="D906" s="9"/>
      <c r="E906" s="9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9"/>
      <c r="B907" s="9"/>
      <c r="C907" s="9"/>
      <c r="D907" s="9"/>
      <c r="E907" s="9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9"/>
      <c r="B908" s="9"/>
      <c r="C908" s="9"/>
      <c r="D908" s="9"/>
      <c r="E908" s="9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9"/>
      <c r="B909" s="9"/>
      <c r="C909" s="9"/>
      <c r="D909" s="9"/>
      <c r="E909" s="9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9"/>
      <c r="B910" s="9"/>
      <c r="C910" s="9"/>
      <c r="D910" s="9"/>
      <c r="E910" s="9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9"/>
      <c r="B911" s="9"/>
      <c r="C911" s="9"/>
      <c r="D911" s="9"/>
      <c r="E911" s="9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9"/>
      <c r="B912" s="9"/>
      <c r="C912" s="9"/>
      <c r="D912" s="9"/>
      <c r="E912" s="9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9"/>
      <c r="B913" s="9"/>
      <c r="C913" s="9"/>
      <c r="D913" s="9"/>
      <c r="E913" s="9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9"/>
      <c r="B914" s="9"/>
      <c r="C914" s="9"/>
      <c r="D914" s="9"/>
      <c r="E914" s="9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9"/>
      <c r="B915" s="9"/>
      <c r="C915" s="9"/>
      <c r="D915" s="9"/>
      <c r="E915" s="9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9"/>
      <c r="B916" s="9"/>
      <c r="C916" s="9"/>
      <c r="D916" s="9"/>
      <c r="E916" s="9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9"/>
      <c r="B917" s="9"/>
      <c r="C917" s="9"/>
      <c r="D917" s="9"/>
      <c r="E917" s="9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9"/>
      <c r="B918" s="9"/>
      <c r="C918" s="9"/>
      <c r="D918" s="9"/>
      <c r="E918" s="9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9"/>
      <c r="B919" s="9"/>
      <c r="C919" s="9"/>
      <c r="D919" s="9"/>
      <c r="E919" s="9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9"/>
      <c r="B920" s="9"/>
      <c r="C920" s="9"/>
      <c r="D920" s="9"/>
      <c r="E920" s="9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9"/>
      <c r="B921" s="9"/>
      <c r="C921" s="9"/>
      <c r="D921" s="9"/>
      <c r="E921" s="9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9"/>
      <c r="B922" s="9"/>
      <c r="C922" s="9"/>
      <c r="D922" s="9"/>
      <c r="E922" s="9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9"/>
      <c r="B923" s="9"/>
      <c r="C923" s="9"/>
      <c r="D923" s="9"/>
      <c r="E923" s="9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9"/>
      <c r="B924" s="9"/>
      <c r="C924" s="9"/>
      <c r="D924" s="9"/>
      <c r="E924" s="9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9"/>
      <c r="B925" s="9"/>
      <c r="C925" s="9"/>
      <c r="D925" s="9"/>
      <c r="E925" s="9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9"/>
      <c r="B926" s="9"/>
      <c r="C926" s="9"/>
      <c r="D926" s="9"/>
      <c r="E926" s="9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9"/>
      <c r="B927" s="9"/>
      <c r="C927" s="9"/>
      <c r="D927" s="9"/>
      <c r="E927" s="9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9"/>
      <c r="B928" s="9"/>
      <c r="C928" s="9"/>
      <c r="D928" s="9"/>
      <c r="E928" s="9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9"/>
      <c r="B929" s="9"/>
      <c r="C929" s="9"/>
      <c r="D929" s="9"/>
      <c r="E929" s="9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9"/>
      <c r="B930" s="9"/>
      <c r="C930" s="9"/>
      <c r="D930" s="9"/>
      <c r="E930" s="9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9"/>
      <c r="B931" s="9"/>
      <c r="C931" s="9"/>
      <c r="D931" s="9"/>
      <c r="E931" s="9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9"/>
      <c r="B932" s="9"/>
      <c r="C932" s="9"/>
      <c r="D932" s="9"/>
      <c r="E932" s="9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9"/>
      <c r="B933" s="9"/>
      <c r="C933" s="9"/>
      <c r="D933" s="9"/>
      <c r="E933" s="9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9"/>
      <c r="B934" s="9"/>
      <c r="C934" s="9"/>
      <c r="D934" s="9"/>
      <c r="E934" s="9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9"/>
      <c r="B935" s="9"/>
      <c r="C935" s="9"/>
      <c r="D935" s="9"/>
      <c r="E935" s="9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9"/>
      <c r="B936" s="9"/>
      <c r="C936" s="9"/>
      <c r="D936" s="9"/>
      <c r="E936" s="9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9"/>
      <c r="B937" s="9"/>
      <c r="C937" s="9"/>
      <c r="D937" s="9"/>
      <c r="E937" s="9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9"/>
      <c r="B938" s="9"/>
      <c r="C938" s="9"/>
      <c r="D938" s="9"/>
      <c r="E938" s="9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9"/>
      <c r="B939" s="9"/>
      <c r="C939" s="9"/>
      <c r="D939" s="9"/>
      <c r="E939" s="9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9"/>
      <c r="B940" s="9"/>
      <c r="C940" s="9"/>
      <c r="D940" s="9"/>
      <c r="E940" s="9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9"/>
      <c r="B941" s="9"/>
      <c r="C941" s="9"/>
      <c r="D941" s="9"/>
      <c r="E941" s="9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9"/>
      <c r="B942" s="9"/>
      <c r="C942" s="9"/>
      <c r="D942" s="9"/>
      <c r="E942" s="9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9"/>
      <c r="B943" s="9"/>
      <c r="C943" s="9"/>
      <c r="D943" s="9"/>
      <c r="E943" s="9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9"/>
      <c r="B944" s="9"/>
      <c r="C944" s="9"/>
      <c r="D944" s="9"/>
      <c r="E944" s="9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9"/>
      <c r="B945" s="9"/>
      <c r="C945" s="9"/>
      <c r="D945" s="9"/>
      <c r="E945" s="9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9"/>
      <c r="B946" s="9"/>
      <c r="C946" s="9"/>
      <c r="D946" s="9"/>
      <c r="E946" s="9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9"/>
      <c r="B947" s="9"/>
      <c r="C947" s="9"/>
      <c r="D947" s="9"/>
      <c r="E947" s="9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9"/>
      <c r="B948" s="9"/>
      <c r="C948" s="9"/>
      <c r="D948" s="9"/>
      <c r="E948" s="9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9"/>
      <c r="B949" s="9"/>
      <c r="C949" s="9"/>
      <c r="D949" s="9"/>
      <c r="E949" s="9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9"/>
      <c r="B950" s="9"/>
      <c r="C950" s="9"/>
      <c r="D950" s="9"/>
      <c r="E950" s="9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9"/>
      <c r="B951" s="9"/>
      <c r="C951" s="9"/>
      <c r="D951" s="9"/>
      <c r="E951" s="9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9"/>
      <c r="B952" s="9"/>
      <c r="C952" s="9"/>
      <c r="D952" s="9"/>
      <c r="E952" s="9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9"/>
      <c r="B953" s="9"/>
      <c r="C953" s="9"/>
      <c r="D953" s="9"/>
      <c r="E953" s="9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9"/>
      <c r="B954" s="9"/>
      <c r="C954" s="9"/>
      <c r="D954" s="9"/>
      <c r="E954" s="9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9"/>
      <c r="B955" s="9"/>
      <c r="C955" s="9"/>
      <c r="D955" s="9"/>
      <c r="E955" s="9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9"/>
      <c r="B956" s="9"/>
      <c r="C956" s="9"/>
      <c r="D956" s="9"/>
      <c r="E956" s="9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9"/>
      <c r="B957" s="9"/>
      <c r="C957" s="9"/>
      <c r="D957" s="9"/>
      <c r="E957" s="9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9"/>
      <c r="B958" s="9"/>
      <c r="C958" s="9"/>
      <c r="D958" s="9"/>
      <c r="E958" s="9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9"/>
      <c r="B959" s="9"/>
      <c r="C959" s="9"/>
      <c r="D959" s="9"/>
      <c r="E959" s="9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9"/>
      <c r="B960" s="9"/>
      <c r="C960" s="9"/>
      <c r="D960" s="9"/>
      <c r="E960" s="9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9"/>
      <c r="B961" s="9"/>
      <c r="C961" s="9"/>
      <c r="D961" s="9"/>
      <c r="E961" s="9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9"/>
      <c r="B962" s="9"/>
      <c r="C962" s="9"/>
      <c r="D962" s="9"/>
      <c r="E962" s="9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9"/>
      <c r="B963" s="9"/>
      <c r="C963" s="9"/>
      <c r="D963" s="9"/>
      <c r="E963" s="9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9"/>
      <c r="B964" s="9"/>
      <c r="C964" s="9"/>
      <c r="D964" s="9"/>
      <c r="E964" s="9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9"/>
      <c r="B965" s="9"/>
      <c r="C965" s="9"/>
      <c r="D965" s="9"/>
      <c r="E965" s="9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9"/>
      <c r="B966" s="9"/>
      <c r="C966" s="9"/>
      <c r="D966" s="9"/>
      <c r="E966" s="9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9"/>
      <c r="B967" s="9"/>
      <c r="C967" s="9"/>
      <c r="D967" s="9"/>
      <c r="E967" s="9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9"/>
      <c r="B968" s="9"/>
      <c r="C968" s="9"/>
      <c r="D968" s="9"/>
      <c r="E968" s="9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9"/>
      <c r="B969" s="9"/>
      <c r="C969" s="9"/>
      <c r="D969" s="9"/>
      <c r="E969" s="9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9"/>
      <c r="B970" s="9"/>
      <c r="C970" s="9"/>
      <c r="D970" s="9"/>
      <c r="E970" s="9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9"/>
      <c r="B971" s="9"/>
      <c r="C971" s="9"/>
      <c r="D971" s="9"/>
      <c r="E971" s="9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9"/>
      <c r="B972" s="9"/>
      <c r="C972" s="9"/>
      <c r="D972" s="9"/>
      <c r="E972" s="9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9"/>
      <c r="B973" s="9"/>
      <c r="C973" s="9"/>
      <c r="D973" s="9"/>
      <c r="E973" s="9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9"/>
      <c r="B974" s="9"/>
      <c r="C974" s="9"/>
      <c r="D974" s="9"/>
      <c r="E974" s="9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9"/>
      <c r="B975" s="9"/>
      <c r="C975" s="9"/>
      <c r="D975" s="9"/>
      <c r="E975" s="9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9"/>
      <c r="B976" s="9"/>
      <c r="C976" s="9"/>
      <c r="D976" s="9"/>
      <c r="E976" s="9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9"/>
      <c r="B977" s="9"/>
      <c r="C977" s="9"/>
      <c r="D977" s="9"/>
      <c r="E977" s="9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9"/>
      <c r="B978" s="9"/>
      <c r="C978" s="9"/>
      <c r="D978" s="9"/>
      <c r="E978" s="9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9"/>
      <c r="B979" s="9"/>
      <c r="C979" s="9"/>
      <c r="D979" s="9"/>
      <c r="E979" s="9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9"/>
      <c r="B980" s="9"/>
      <c r="C980" s="9"/>
      <c r="D980" s="9"/>
      <c r="E980" s="9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9"/>
      <c r="B981" s="9"/>
      <c r="C981" s="9"/>
      <c r="D981" s="9"/>
      <c r="E981" s="9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9"/>
      <c r="B982" s="9"/>
      <c r="C982" s="9"/>
      <c r="D982" s="9"/>
      <c r="E982" s="9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9"/>
      <c r="B983" s="9"/>
      <c r="C983" s="9"/>
      <c r="D983" s="9"/>
      <c r="E983" s="9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9"/>
      <c r="B984" s="9"/>
      <c r="C984" s="9"/>
      <c r="D984" s="9"/>
      <c r="E984" s="9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9"/>
      <c r="B985" s="9"/>
      <c r="C985" s="9"/>
      <c r="D985" s="9"/>
      <c r="E985" s="9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9"/>
      <c r="B986" s="9"/>
      <c r="C986" s="9"/>
      <c r="D986" s="9"/>
      <c r="E986" s="9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9"/>
      <c r="B987" s="9"/>
      <c r="C987" s="9"/>
      <c r="D987" s="9"/>
      <c r="E987" s="9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9"/>
      <c r="B988" s="9"/>
      <c r="C988" s="9"/>
      <c r="D988" s="9"/>
      <c r="E988" s="9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9"/>
      <c r="B989" s="9"/>
      <c r="C989" s="9"/>
      <c r="D989" s="9"/>
      <c r="E989" s="9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9"/>
      <c r="B990" s="9"/>
      <c r="C990" s="9"/>
      <c r="D990" s="9"/>
      <c r="E990" s="9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9"/>
      <c r="B991" s="9"/>
      <c r="C991" s="9"/>
      <c r="D991" s="9"/>
      <c r="E991" s="9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9"/>
      <c r="B992" s="9"/>
      <c r="C992" s="9"/>
      <c r="D992" s="9"/>
      <c r="E992" s="9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9"/>
      <c r="B993" s="9"/>
      <c r="C993" s="9"/>
      <c r="D993" s="9"/>
      <c r="E993" s="9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9"/>
      <c r="B994" s="9"/>
      <c r="C994" s="9"/>
      <c r="D994" s="9"/>
      <c r="E994" s="9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9"/>
      <c r="B995" s="9"/>
      <c r="C995" s="9"/>
      <c r="D995" s="9"/>
      <c r="E995" s="9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9"/>
      <c r="B996" s="9"/>
      <c r="C996" s="9"/>
      <c r="D996" s="9"/>
      <c r="E996" s="9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9"/>
      <c r="B997" s="9"/>
      <c r="C997" s="9"/>
      <c r="D997" s="9"/>
      <c r="E997" s="9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9"/>
      <c r="B998" s="9"/>
      <c r="C998" s="9"/>
      <c r="D998" s="9"/>
      <c r="E998" s="9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9"/>
      <c r="B999" s="9"/>
      <c r="C999" s="9"/>
      <c r="D999" s="9"/>
      <c r="E999" s="9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9"/>
      <c r="B1000" s="9"/>
      <c r="C1000" s="9"/>
      <c r="D1000" s="9"/>
      <c r="E1000" s="9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A4:E4"/>
    <mergeCell ref="A12:E12"/>
    <mergeCell ref="A19:E19"/>
    <mergeCell ref="A25:E25"/>
    <mergeCell ref="A30:E30"/>
    <mergeCell ref="A40:E4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26.0"/>
    <col customWidth="1" min="4" max="4" width="16.0"/>
    <col customWidth="1" min="5" max="5" width="30.0"/>
    <col customWidth="1" min="6" max="6" width="40.0"/>
    <col customWidth="1" min="7" max="7" width="12.0"/>
    <col customWidth="1" min="8" max="26" width="8.71"/>
  </cols>
  <sheetData>
    <row r="1" ht="25.5" customHeight="1">
      <c r="A1" s="5" t="s">
        <v>1</v>
      </c>
      <c r="B1" s="5" t="s">
        <v>9</v>
      </c>
      <c r="C1" s="3" t="s">
        <v>15</v>
      </c>
      <c r="D1" s="5" t="s">
        <v>19</v>
      </c>
      <c r="E1" s="5" t="s">
        <v>22</v>
      </c>
      <c r="F1" s="3" t="s">
        <v>25</v>
      </c>
      <c r="G1" s="5" t="s">
        <v>28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54.0" customHeight="1">
      <c r="A2" s="14" t="s">
        <v>35</v>
      </c>
      <c r="B2" s="14" t="s">
        <v>37</v>
      </c>
      <c r="C2" s="14" t="s">
        <v>38</v>
      </c>
      <c r="D2" s="15" t="s">
        <v>39</v>
      </c>
      <c r="E2" s="14" t="s">
        <v>41</v>
      </c>
      <c r="F2" s="14" t="s">
        <v>42</v>
      </c>
      <c r="G2" s="14" t="s">
        <v>44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4.0" customHeight="1">
      <c r="A3" s="14" t="s">
        <v>52</v>
      </c>
      <c r="B3" s="14" t="s">
        <v>54</v>
      </c>
      <c r="C3" s="14" t="s">
        <v>57</v>
      </c>
      <c r="D3" s="15" t="s">
        <v>59</v>
      </c>
      <c r="E3" s="14" t="s">
        <v>62</v>
      </c>
      <c r="F3" s="14" t="s">
        <v>64</v>
      </c>
      <c r="G3" s="14" t="s">
        <v>65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4.0" customHeight="1">
      <c r="A4" s="14" t="s">
        <v>70</v>
      </c>
      <c r="B4" s="14" t="s">
        <v>73</v>
      </c>
      <c r="C4" s="14" t="s">
        <v>76</v>
      </c>
      <c r="D4" s="15" t="s">
        <v>79</v>
      </c>
      <c r="E4" s="14" t="s">
        <v>80</v>
      </c>
      <c r="F4" s="14" t="s">
        <v>82</v>
      </c>
      <c r="G4" s="14" t="s">
        <v>44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54.0" customHeight="1">
      <c r="A5" s="14" t="s">
        <v>86</v>
      </c>
      <c r="B5" s="14" t="s">
        <v>89</v>
      </c>
      <c r="C5" s="14" t="s">
        <v>91</v>
      </c>
      <c r="D5" s="15" t="s">
        <v>92</v>
      </c>
      <c r="E5" s="14" t="s">
        <v>94</v>
      </c>
      <c r="F5" s="14" t="s">
        <v>96</v>
      </c>
      <c r="G5" s="14" t="s">
        <v>44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54.0" customHeight="1">
      <c r="A6" s="14" t="s">
        <v>102</v>
      </c>
      <c r="B6" s="14" t="s">
        <v>104</v>
      </c>
      <c r="C6" s="14" t="s">
        <v>106</v>
      </c>
      <c r="D6" s="21" t="s">
        <v>108</v>
      </c>
      <c r="E6" s="14" t="s">
        <v>109</v>
      </c>
      <c r="F6" s="14" t="s">
        <v>111</v>
      </c>
      <c r="G6" s="14" t="s">
        <v>112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54.0" customHeight="1">
      <c r="A7" s="14" t="s">
        <v>115</v>
      </c>
      <c r="B7" s="14" t="s">
        <v>117</v>
      </c>
      <c r="C7" s="14" t="s">
        <v>124</v>
      </c>
      <c r="D7" s="23" t="s">
        <v>126</v>
      </c>
      <c r="E7" s="14" t="s">
        <v>130</v>
      </c>
      <c r="F7" s="14" t="s">
        <v>131</v>
      </c>
      <c r="G7" s="14" t="s">
        <v>133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54.0" customHeight="1">
      <c r="A8" s="14" t="s">
        <v>137</v>
      </c>
      <c r="B8" s="14" t="s">
        <v>99</v>
      </c>
      <c r="C8" s="14" t="s">
        <v>138</v>
      </c>
      <c r="D8" s="15" t="s">
        <v>140</v>
      </c>
      <c r="E8" s="14" t="s">
        <v>141</v>
      </c>
      <c r="F8" s="14" t="s">
        <v>144</v>
      </c>
      <c r="G8" s="14" t="s">
        <v>146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4.0" customHeight="1">
      <c r="A9" s="14" t="s">
        <v>153</v>
      </c>
      <c r="B9" s="14" t="s">
        <v>155</v>
      </c>
      <c r="C9" s="14" t="s">
        <v>156</v>
      </c>
      <c r="D9" s="15" t="s">
        <v>158</v>
      </c>
      <c r="E9" s="14" t="s">
        <v>159</v>
      </c>
      <c r="F9" s="14" t="s">
        <v>160</v>
      </c>
      <c r="G9" s="14" t="s">
        <v>161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4.0" customHeight="1">
      <c r="A10" s="14" t="s">
        <v>163</v>
      </c>
      <c r="B10" s="14" t="s">
        <v>164</v>
      </c>
      <c r="C10" s="14" t="s">
        <v>165</v>
      </c>
      <c r="D10" s="23" t="s">
        <v>167</v>
      </c>
      <c r="E10" s="14" t="s">
        <v>168</v>
      </c>
      <c r="F10" s="14" t="s">
        <v>169</v>
      </c>
      <c r="G10" s="14" t="s">
        <v>170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54.0" customHeight="1">
      <c r="A11" s="14" t="s">
        <v>172</v>
      </c>
      <c r="B11" s="14" t="s">
        <v>173</v>
      </c>
      <c r="C11" s="14" t="s">
        <v>175</v>
      </c>
      <c r="D11" s="23" t="s">
        <v>176</v>
      </c>
      <c r="E11" s="14" t="s">
        <v>178</v>
      </c>
      <c r="F11" s="14" t="s">
        <v>179</v>
      </c>
      <c r="G11" s="14" t="s">
        <v>182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54.0" customHeight="1">
      <c r="A12" s="14" t="s">
        <v>186</v>
      </c>
      <c r="B12" s="14" t="s">
        <v>188</v>
      </c>
      <c r="C12" s="14" t="s">
        <v>189</v>
      </c>
      <c r="D12" s="23" t="s">
        <v>190</v>
      </c>
      <c r="E12" s="14" t="s">
        <v>44</v>
      </c>
      <c r="F12" s="14" t="s">
        <v>44</v>
      </c>
      <c r="G12" s="14" t="s">
        <v>44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54.0" customHeight="1">
      <c r="A13" s="14" t="s">
        <v>193</v>
      </c>
      <c r="B13" s="14" t="s">
        <v>195</v>
      </c>
      <c r="C13" s="14" t="s">
        <v>197</v>
      </c>
      <c r="D13" s="21" t="s">
        <v>198</v>
      </c>
      <c r="E13" s="14" t="s">
        <v>200</v>
      </c>
      <c r="F13" s="14" t="s">
        <v>201</v>
      </c>
      <c r="G13" s="14" t="s">
        <v>44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54.0" customHeight="1">
      <c r="A14" s="14" t="s">
        <v>204</v>
      </c>
      <c r="B14" s="14" t="s">
        <v>205</v>
      </c>
      <c r="C14" s="14" t="s">
        <v>206</v>
      </c>
      <c r="D14" s="21" t="s">
        <v>207</v>
      </c>
      <c r="E14" s="14" t="s">
        <v>208</v>
      </c>
      <c r="F14" s="14" t="s">
        <v>210</v>
      </c>
      <c r="G14" s="14" t="s">
        <v>211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54.0" customHeight="1">
      <c r="A15" s="14" t="s">
        <v>215</v>
      </c>
      <c r="B15" s="14" t="s">
        <v>217</v>
      </c>
      <c r="C15" s="14" t="s">
        <v>219</v>
      </c>
      <c r="D15" s="15" t="s">
        <v>221</v>
      </c>
      <c r="E15" s="14" t="s">
        <v>222</v>
      </c>
      <c r="F15" s="14" t="s">
        <v>224</v>
      </c>
      <c r="G15" s="14" t="s">
        <v>225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54.0" customHeight="1">
      <c r="A16" s="14" t="s">
        <v>228</v>
      </c>
      <c r="B16" s="14" t="s">
        <v>229</v>
      </c>
      <c r="C16" s="14" t="s">
        <v>231</v>
      </c>
      <c r="D16" s="15" t="s">
        <v>232</v>
      </c>
      <c r="E16" s="14" t="s">
        <v>44</v>
      </c>
      <c r="F16" s="14" t="s">
        <v>235</v>
      </c>
      <c r="G16" s="14" t="s">
        <v>44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54.0" customHeight="1">
      <c r="A17" s="14" t="s">
        <v>239</v>
      </c>
      <c r="B17" s="14" t="s">
        <v>240</v>
      </c>
      <c r="C17" s="14" t="s">
        <v>241</v>
      </c>
      <c r="D17" s="23" t="s">
        <v>242</v>
      </c>
      <c r="E17" s="14" t="s">
        <v>44</v>
      </c>
      <c r="F17" s="14" t="s">
        <v>243</v>
      </c>
      <c r="G17" s="14" t="s">
        <v>44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54.0" customHeight="1">
      <c r="A18" s="14" t="s">
        <v>248</v>
      </c>
      <c r="B18" s="14" t="s">
        <v>249</v>
      </c>
      <c r="C18" s="14" t="s">
        <v>251</v>
      </c>
      <c r="D18" s="15" t="s">
        <v>253</v>
      </c>
      <c r="E18" s="14" t="s">
        <v>44</v>
      </c>
      <c r="F18" s="14" t="s">
        <v>255</v>
      </c>
      <c r="G18" s="14" t="s">
        <v>44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54.0" customHeight="1">
      <c r="A19" s="14" t="s">
        <v>258</v>
      </c>
      <c r="B19" s="14" t="s">
        <v>259</v>
      </c>
      <c r="C19" s="14" t="s">
        <v>261</v>
      </c>
      <c r="D19" s="21" t="s">
        <v>262</v>
      </c>
      <c r="E19" s="14" t="s">
        <v>263</v>
      </c>
      <c r="F19" s="14" t="s">
        <v>264</v>
      </c>
      <c r="G19" s="14" t="s">
        <v>44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54.0" customHeight="1">
      <c r="A20" s="14" t="s">
        <v>267</v>
      </c>
      <c r="B20" s="14" t="s">
        <v>268</v>
      </c>
      <c r="C20" s="14" t="s">
        <v>269</v>
      </c>
      <c r="D20" s="15" t="s">
        <v>270</v>
      </c>
      <c r="E20" s="14" t="s">
        <v>271</v>
      </c>
      <c r="F20" s="14" t="s">
        <v>272</v>
      </c>
      <c r="G20" s="14" t="s">
        <v>273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54.0" customHeight="1">
      <c r="A21" s="14" t="s">
        <v>276</v>
      </c>
      <c r="B21" s="14" t="s">
        <v>277</v>
      </c>
      <c r="C21" s="14" t="s">
        <v>279</v>
      </c>
      <c r="D21" s="15" t="s">
        <v>281</v>
      </c>
      <c r="E21" s="14" t="s">
        <v>44</v>
      </c>
      <c r="F21" s="14" t="s">
        <v>284</v>
      </c>
      <c r="G21" s="14" t="s">
        <v>44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54.0" customHeight="1">
      <c r="A22" s="14" t="s">
        <v>286</v>
      </c>
      <c r="B22" s="14" t="s">
        <v>287</v>
      </c>
      <c r="C22" s="14" t="s">
        <v>189</v>
      </c>
      <c r="D22" s="23" t="s">
        <v>190</v>
      </c>
      <c r="E22" s="14" t="s">
        <v>289</v>
      </c>
      <c r="F22" s="14" t="s">
        <v>44</v>
      </c>
      <c r="G22" s="14" t="s">
        <v>65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54.0" customHeight="1">
      <c r="A23" s="14" t="s">
        <v>296</v>
      </c>
      <c r="B23" s="14" t="s">
        <v>298</v>
      </c>
      <c r="C23" s="14" t="s">
        <v>189</v>
      </c>
      <c r="D23" s="23" t="s">
        <v>190</v>
      </c>
      <c r="E23" s="14" t="s">
        <v>300</v>
      </c>
      <c r="F23" s="14" t="s">
        <v>44</v>
      </c>
      <c r="G23" s="14" t="s">
        <v>302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54.0" customHeight="1">
      <c r="A24" s="14" t="s">
        <v>303</v>
      </c>
      <c r="B24" s="14" t="s">
        <v>304</v>
      </c>
      <c r="C24" s="14" t="s">
        <v>306</v>
      </c>
      <c r="D24" s="23" t="s">
        <v>308</v>
      </c>
      <c r="E24" s="14" t="s">
        <v>309</v>
      </c>
      <c r="F24" s="14" t="s">
        <v>310</v>
      </c>
      <c r="G24" s="14" t="s">
        <v>311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54.0" customHeight="1">
      <c r="A25" s="14" t="s">
        <v>315</v>
      </c>
      <c r="B25" s="14" t="s">
        <v>317</v>
      </c>
      <c r="C25" s="14" t="s">
        <v>319</v>
      </c>
      <c r="D25" s="23" t="s">
        <v>190</v>
      </c>
      <c r="E25" s="14" t="s">
        <v>320</v>
      </c>
      <c r="F25" s="14" t="s">
        <v>44</v>
      </c>
      <c r="G25" s="14" t="s">
        <v>321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54.0" customHeight="1">
      <c r="A26" s="14" t="s">
        <v>326</v>
      </c>
      <c r="B26" s="14" t="s">
        <v>328</v>
      </c>
      <c r="C26" s="14" t="s">
        <v>329</v>
      </c>
      <c r="D26" s="23" t="s">
        <v>330</v>
      </c>
      <c r="E26" s="14" t="s">
        <v>331</v>
      </c>
      <c r="F26" s="14" t="s">
        <v>332</v>
      </c>
      <c r="G26" s="14" t="s">
        <v>334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54.0" customHeight="1">
      <c r="A27" s="14" t="s">
        <v>337</v>
      </c>
      <c r="B27" s="14" t="s">
        <v>338</v>
      </c>
      <c r="C27" s="14" t="s">
        <v>189</v>
      </c>
      <c r="D27" s="23" t="s">
        <v>190</v>
      </c>
      <c r="E27" s="14" t="s">
        <v>340</v>
      </c>
      <c r="F27" s="14" t="s">
        <v>44</v>
      </c>
      <c r="G27" s="14" t="s">
        <v>342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54.0" customHeight="1">
      <c r="A28" s="14" t="s">
        <v>343</v>
      </c>
      <c r="B28" s="14" t="s">
        <v>344</v>
      </c>
      <c r="C28" s="14" t="s">
        <v>189</v>
      </c>
      <c r="D28" s="23" t="s">
        <v>190</v>
      </c>
      <c r="E28" s="14" t="s">
        <v>44</v>
      </c>
      <c r="F28" s="14" t="s">
        <v>44</v>
      </c>
      <c r="G28" s="14" t="s">
        <v>44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9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9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9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9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9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9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9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9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9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9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9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9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9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9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9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9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9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9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9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9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9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9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9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9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9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9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9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9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9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9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9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9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9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9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9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9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9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9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9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9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9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9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9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9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9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9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9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9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9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9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9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9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9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9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9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9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9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9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9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9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9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9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9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9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9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9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9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9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9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9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9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9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9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9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9"/>
      <c r="B229" s="9"/>
      <c r="C229" s="9"/>
      <c r="D229" s="9"/>
      <c r="E229" s="9"/>
      <c r="F229" s="9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9"/>
      <c r="B230" s="9"/>
      <c r="C230" s="9"/>
      <c r="D230" s="9"/>
      <c r="E230" s="9"/>
      <c r="F230" s="9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9"/>
      <c r="B231" s="9"/>
      <c r="C231" s="9"/>
      <c r="D231" s="9"/>
      <c r="E231" s="9"/>
      <c r="F231" s="9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9"/>
      <c r="B232" s="9"/>
      <c r="C232" s="9"/>
      <c r="D232" s="9"/>
      <c r="E232" s="9"/>
      <c r="F232" s="9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9"/>
      <c r="B233" s="9"/>
      <c r="C233" s="9"/>
      <c r="D233" s="9"/>
      <c r="E233" s="9"/>
      <c r="F233" s="9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/>
      <c r="B234" s="9"/>
      <c r="C234" s="9"/>
      <c r="D234" s="9"/>
      <c r="E234" s="9"/>
      <c r="F234" s="9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9"/>
      <c r="B235" s="9"/>
      <c r="C235" s="9"/>
      <c r="D235" s="9"/>
      <c r="E235" s="9"/>
      <c r="F235" s="9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/>
      <c r="B236" s="9"/>
      <c r="C236" s="9"/>
      <c r="D236" s="9"/>
      <c r="E236" s="9"/>
      <c r="F236" s="9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9"/>
      <c r="D237" s="9"/>
      <c r="E237" s="9"/>
      <c r="F237" s="9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/>
      <c r="B238" s="9"/>
      <c r="C238" s="9"/>
      <c r="D238" s="9"/>
      <c r="E238" s="9"/>
      <c r="F238" s="9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9"/>
      <c r="B239" s="9"/>
      <c r="C239" s="9"/>
      <c r="D239" s="9"/>
      <c r="E239" s="9"/>
      <c r="F239" s="9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/>
      <c r="B240" s="9"/>
      <c r="C240" s="9"/>
      <c r="D240" s="9"/>
      <c r="E240" s="9"/>
      <c r="F240" s="9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9"/>
      <c r="B241" s="9"/>
      <c r="C241" s="9"/>
      <c r="D241" s="9"/>
      <c r="E241" s="9"/>
      <c r="F241" s="9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/>
      <c r="B242" s="9"/>
      <c r="C242" s="9"/>
      <c r="D242" s="9"/>
      <c r="E242" s="9"/>
      <c r="F242" s="9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9"/>
      <c r="B243" s="9"/>
      <c r="C243" s="9"/>
      <c r="D243" s="9"/>
      <c r="E243" s="9"/>
      <c r="F243" s="9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9"/>
      <c r="B244" s="9"/>
      <c r="C244" s="9"/>
      <c r="D244" s="9"/>
      <c r="E244" s="9"/>
      <c r="F244" s="9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9"/>
      <c r="B245" s="9"/>
      <c r="C245" s="9"/>
      <c r="D245" s="9"/>
      <c r="E245" s="9"/>
      <c r="F245" s="9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9"/>
      <c r="B246" s="9"/>
      <c r="C246" s="9"/>
      <c r="D246" s="9"/>
      <c r="E246" s="9"/>
      <c r="F246" s="9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9"/>
      <c r="B247" s="9"/>
      <c r="C247" s="9"/>
      <c r="D247" s="9"/>
      <c r="E247" s="9"/>
      <c r="F247" s="9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/>
      <c r="B248" s="9"/>
      <c r="C248" s="9"/>
      <c r="D248" s="9"/>
      <c r="E248" s="9"/>
      <c r="F248" s="9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9"/>
      <c r="B249" s="9"/>
      <c r="C249" s="9"/>
      <c r="D249" s="9"/>
      <c r="E249" s="9"/>
      <c r="F249" s="9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/>
      <c r="B250" s="9"/>
      <c r="C250" s="9"/>
      <c r="D250" s="9"/>
      <c r="E250" s="9"/>
      <c r="F250" s="9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9"/>
      <c r="B251" s="9"/>
      <c r="C251" s="9"/>
      <c r="D251" s="9"/>
      <c r="E251" s="9"/>
      <c r="F251" s="9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/>
      <c r="B252" s="9"/>
      <c r="C252" s="9"/>
      <c r="D252" s="9"/>
      <c r="E252" s="9"/>
      <c r="F252" s="9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9"/>
      <c r="B253" s="9"/>
      <c r="C253" s="9"/>
      <c r="D253" s="9"/>
      <c r="E253" s="9"/>
      <c r="F253" s="9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/>
      <c r="B254" s="9"/>
      <c r="C254" s="9"/>
      <c r="D254" s="9"/>
      <c r="E254" s="9"/>
      <c r="F254" s="9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9"/>
      <c r="B255" s="9"/>
      <c r="C255" s="9"/>
      <c r="D255" s="9"/>
      <c r="E255" s="9"/>
      <c r="F255" s="9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/>
      <c r="B256" s="9"/>
      <c r="C256" s="9"/>
      <c r="D256" s="9"/>
      <c r="E256" s="9"/>
      <c r="F256" s="9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9"/>
      <c r="B257" s="9"/>
      <c r="C257" s="9"/>
      <c r="D257" s="9"/>
      <c r="E257" s="9"/>
      <c r="F257" s="9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/>
      <c r="B258" s="9"/>
      <c r="C258" s="9"/>
      <c r="D258" s="9"/>
      <c r="E258" s="9"/>
      <c r="F258" s="9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9"/>
      <c r="B259" s="9"/>
      <c r="C259" s="9"/>
      <c r="D259" s="9"/>
      <c r="E259" s="9"/>
      <c r="F259" s="9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/>
      <c r="B260" s="9"/>
      <c r="C260" s="9"/>
      <c r="D260" s="9"/>
      <c r="E260" s="9"/>
      <c r="F260" s="9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9"/>
      <c r="B261" s="9"/>
      <c r="C261" s="9"/>
      <c r="D261" s="9"/>
      <c r="E261" s="9"/>
      <c r="F261" s="9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/>
      <c r="B262" s="9"/>
      <c r="C262" s="9"/>
      <c r="D262" s="9"/>
      <c r="E262" s="9"/>
      <c r="F262" s="9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9"/>
      <c r="B263" s="9"/>
      <c r="C263" s="9"/>
      <c r="D263" s="9"/>
      <c r="E263" s="9"/>
      <c r="F263" s="9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/>
      <c r="B264" s="9"/>
      <c r="C264" s="9"/>
      <c r="D264" s="9"/>
      <c r="E264" s="9"/>
      <c r="F264" s="9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9"/>
      <c r="B265" s="9"/>
      <c r="C265" s="9"/>
      <c r="D265" s="9"/>
      <c r="E265" s="9"/>
      <c r="F265" s="9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/>
      <c r="B266" s="9"/>
      <c r="C266" s="9"/>
      <c r="D266" s="9"/>
      <c r="E266" s="9"/>
      <c r="F266" s="9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9"/>
      <c r="B267" s="9"/>
      <c r="C267" s="9"/>
      <c r="D267" s="9"/>
      <c r="E267" s="9"/>
      <c r="F267" s="9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9"/>
      <c r="B268" s="9"/>
      <c r="C268" s="9"/>
      <c r="D268" s="9"/>
      <c r="E268" s="9"/>
      <c r="F268" s="9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9"/>
      <c r="B269" s="9"/>
      <c r="C269" s="9"/>
      <c r="D269" s="9"/>
      <c r="E269" s="9"/>
      <c r="F269" s="9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/>
      <c r="B270" s="9"/>
      <c r="C270" s="9"/>
      <c r="D270" s="9"/>
      <c r="E270" s="9"/>
      <c r="F270" s="9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9"/>
      <c r="B271" s="9"/>
      <c r="C271" s="9"/>
      <c r="D271" s="9"/>
      <c r="E271" s="9"/>
      <c r="F271" s="9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/>
      <c r="B272" s="9"/>
      <c r="C272" s="9"/>
      <c r="D272" s="9"/>
      <c r="E272" s="9"/>
      <c r="F272" s="9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9"/>
      <c r="B273" s="9"/>
      <c r="C273" s="9"/>
      <c r="D273" s="9"/>
      <c r="E273" s="9"/>
      <c r="F273" s="9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/>
      <c r="B274" s="9"/>
      <c r="C274" s="9"/>
      <c r="D274" s="9"/>
      <c r="E274" s="9"/>
      <c r="F274" s="9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9"/>
      <c r="B275" s="9"/>
      <c r="C275" s="9"/>
      <c r="D275" s="9"/>
      <c r="E275" s="9"/>
      <c r="F275" s="9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/>
      <c r="B276" s="9"/>
      <c r="C276" s="9"/>
      <c r="D276" s="9"/>
      <c r="E276" s="9"/>
      <c r="F276" s="9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9"/>
      <c r="B277" s="9"/>
      <c r="C277" s="9"/>
      <c r="D277" s="9"/>
      <c r="E277" s="9"/>
      <c r="F277" s="9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/>
      <c r="B278" s="9"/>
      <c r="C278" s="9"/>
      <c r="D278" s="9"/>
      <c r="E278" s="9"/>
      <c r="F278" s="9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9"/>
      <c r="B279" s="9"/>
      <c r="C279" s="9"/>
      <c r="D279" s="9"/>
      <c r="E279" s="9"/>
      <c r="F279" s="9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/>
      <c r="B280" s="9"/>
      <c r="C280" s="9"/>
      <c r="D280" s="9"/>
      <c r="E280" s="9"/>
      <c r="F280" s="9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9"/>
      <c r="B281" s="9"/>
      <c r="C281" s="9"/>
      <c r="D281" s="9"/>
      <c r="E281" s="9"/>
      <c r="F281" s="9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/>
      <c r="B282" s="9"/>
      <c r="C282" s="9"/>
      <c r="D282" s="9"/>
      <c r="E282" s="9"/>
      <c r="F282" s="9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9"/>
      <c r="B283" s="9"/>
      <c r="C283" s="9"/>
      <c r="D283" s="9"/>
      <c r="E283" s="9"/>
      <c r="F283" s="9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/>
      <c r="B284" s="9"/>
      <c r="C284" s="9"/>
      <c r="D284" s="9"/>
      <c r="E284" s="9"/>
      <c r="F284" s="9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9"/>
      <c r="B285" s="9"/>
      <c r="C285" s="9"/>
      <c r="D285" s="9"/>
      <c r="E285" s="9"/>
      <c r="F285" s="9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/>
      <c r="B286" s="9"/>
      <c r="C286" s="9"/>
      <c r="D286" s="9"/>
      <c r="E286" s="9"/>
      <c r="F286" s="9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9"/>
      <c r="B287" s="9"/>
      <c r="C287" s="9"/>
      <c r="D287" s="9"/>
      <c r="E287" s="9"/>
      <c r="F287" s="9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/>
      <c r="B288" s="9"/>
      <c r="C288" s="9"/>
      <c r="D288" s="9"/>
      <c r="E288" s="9"/>
      <c r="F288" s="9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9"/>
      <c r="B289" s="9"/>
      <c r="C289" s="9"/>
      <c r="D289" s="9"/>
      <c r="E289" s="9"/>
      <c r="F289" s="9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/>
      <c r="B290" s="9"/>
      <c r="C290" s="9"/>
      <c r="D290" s="9"/>
      <c r="E290" s="9"/>
      <c r="F290" s="9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9"/>
      <c r="B291" s="9"/>
      <c r="C291" s="9"/>
      <c r="D291" s="9"/>
      <c r="E291" s="9"/>
      <c r="F291" s="9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/>
      <c r="B292" s="9"/>
      <c r="C292" s="9"/>
      <c r="D292" s="9"/>
      <c r="E292" s="9"/>
      <c r="F292" s="9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9"/>
      <c r="B293" s="9"/>
      <c r="C293" s="9"/>
      <c r="D293" s="9"/>
      <c r="E293" s="9"/>
      <c r="F293" s="9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/>
      <c r="B294" s="9"/>
      <c r="C294" s="9"/>
      <c r="D294" s="9"/>
      <c r="E294" s="9"/>
      <c r="F294" s="9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9"/>
      <c r="B295" s="9"/>
      <c r="C295" s="9"/>
      <c r="D295" s="9"/>
      <c r="E295" s="9"/>
      <c r="F295" s="9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/>
      <c r="B296" s="9"/>
      <c r="C296" s="9"/>
      <c r="D296" s="9"/>
      <c r="E296" s="9"/>
      <c r="F296" s="9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9"/>
      <c r="B297" s="9"/>
      <c r="C297" s="9"/>
      <c r="D297" s="9"/>
      <c r="E297" s="9"/>
      <c r="F297" s="9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/>
      <c r="B298" s="9"/>
      <c r="C298" s="9"/>
      <c r="D298" s="9"/>
      <c r="E298" s="9"/>
      <c r="F298" s="9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9"/>
      <c r="B299" s="9"/>
      <c r="C299" s="9"/>
      <c r="D299" s="9"/>
      <c r="E299" s="9"/>
      <c r="F299" s="9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/>
      <c r="B300" s="9"/>
      <c r="C300" s="9"/>
      <c r="D300" s="9"/>
      <c r="E300" s="9"/>
      <c r="F300" s="9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9"/>
      <c r="B301" s="9"/>
      <c r="C301" s="9"/>
      <c r="D301" s="9"/>
      <c r="E301" s="9"/>
      <c r="F301" s="9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9"/>
      <c r="B302" s="9"/>
      <c r="C302" s="9"/>
      <c r="D302" s="9"/>
      <c r="E302" s="9"/>
      <c r="F302" s="9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9"/>
      <c r="B303" s="9"/>
      <c r="C303" s="9"/>
      <c r="D303" s="9"/>
      <c r="E303" s="9"/>
      <c r="F303" s="9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/>
      <c r="B304" s="9"/>
      <c r="C304" s="9"/>
      <c r="D304" s="9"/>
      <c r="E304" s="9"/>
      <c r="F304" s="9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9"/>
      <c r="B305" s="9"/>
      <c r="C305" s="9"/>
      <c r="D305" s="9"/>
      <c r="E305" s="9"/>
      <c r="F305" s="9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/>
      <c r="B306" s="9"/>
      <c r="C306" s="9"/>
      <c r="D306" s="9"/>
      <c r="E306" s="9"/>
      <c r="F306" s="9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9"/>
      <c r="B307" s="9"/>
      <c r="C307" s="9"/>
      <c r="D307" s="9"/>
      <c r="E307" s="9"/>
      <c r="F307" s="9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/>
      <c r="B308" s="9"/>
      <c r="C308" s="9"/>
      <c r="D308" s="9"/>
      <c r="E308" s="9"/>
      <c r="F308" s="9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9"/>
      <c r="B309" s="9"/>
      <c r="C309" s="9"/>
      <c r="D309" s="9"/>
      <c r="E309" s="9"/>
      <c r="F309" s="9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/>
      <c r="B310" s="9"/>
      <c r="C310" s="9"/>
      <c r="D310" s="9"/>
      <c r="E310" s="9"/>
      <c r="F310" s="9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9"/>
      <c r="B311" s="9"/>
      <c r="C311" s="9"/>
      <c r="D311" s="9"/>
      <c r="E311" s="9"/>
      <c r="F311" s="9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/>
      <c r="B312" s="9"/>
      <c r="C312" s="9"/>
      <c r="D312" s="9"/>
      <c r="E312" s="9"/>
      <c r="F312" s="9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9"/>
      <c r="B313" s="9"/>
      <c r="C313" s="9"/>
      <c r="D313" s="9"/>
      <c r="E313" s="9"/>
      <c r="F313" s="9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/>
      <c r="B314" s="9"/>
      <c r="C314" s="9"/>
      <c r="D314" s="9"/>
      <c r="E314" s="9"/>
      <c r="F314" s="9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9"/>
      <c r="B315" s="9"/>
      <c r="C315" s="9"/>
      <c r="D315" s="9"/>
      <c r="E315" s="9"/>
      <c r="F315" s="9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9"/>
      <c r="B316" s="9"/>
      <c r="C316" s="9"/>
      <c r="D316" s="9"/>
      <c r="E316" s="9"/>
      <c r="F316" s="9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9"/>
      <c r="B317" s="9"/>
      <c r="C317" s="9"/>
      <c r="D317" s="9"/>
      <c r="E317" s="9"/>
      <c r="F317" s="9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/>
      <c r="B318" s="9"/>
      <c r="C318" s="9"/>
      <c r="D318" s="9"/>
      <c r="E318" s="9"/>
      <c r="F318" s="9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9"/>
      <c r="B319" s="9"/>
      <c r="C319" s="9"/>
      <c r="D319" s="9"/>
      <c r="E319" s="9"/>
      <c r="F319" s="9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9"/>
      <c r="B320" s="9"/>
      <c r="C320" s="9"/>
      <c r="D320" s="9"/>
      <c r="E320" s="9"/>
      <c r="F320" s="9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9"/>
      <c r="B321" s="9"/>
      <c r="C321" s="9"/>
      <c r="D321" s="9"/>
      <c r="E321" s="9"/>
      <c r="F321" s="9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9"/>
      <c r="B322" s="9"/>
      <c r="C322" s="9"/>
      <c r="D322" s="9"/>
      <c r="E322" s="9"/>
      <c r="F322" s="9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9"/>
      <c r="B323" s="9"/>
      <c r="C323" s="9"/>
      <c r="D323" s="9"/>
      <c r="E323" s="9"/>
      <c r="F323" s="9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9"/>
      <c r="B324" s="9"/>
      <c r="C324" s="9"/>
      <c r="D324" s="9"/>
      <c r="E324" s="9"/>
      <c r="F324" s="9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9"/>
      <c r="B325" s="9"/>
      <c r="C325" s="9"/>
      <c r="D325" s="9"/>
      <c r="E325" s="9"/>
      <c r="F325" s="9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9"/>
      <c r="B326" s="9"/>
      <c r="C326" s="9"/>
      <c r="D326" s="9"/>
      <c r="E326" s="9"/>
      <c r="F326" s="9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9"/>
      <c r="B327" s="9"/>
      <c r="C327" s="9"/>
      <c r="D327" s="9"/>
      <c r="E327" s="9"/>
      <c r="F327" s="9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/>
      <c r="B328" s="9"/>
      <c r="C328" s="9"/>
      <c r="D328" s="9"/>
      <c r="E328" s="9"/>
      <c r="F328" s="9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9"/>
      <c r="B329" s="9"/>
      <c r="C329" s="9"/>
      <c r="D329" s="9"/>
      <c r="E329" s="9"/>
      <c r="F329" s="9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/>
      <c r="B330" s="9"/>
      <c r="C330" s="9"/>
      <c r="D330" s="9"/>
      <c r="E330" s="9"/>
      <c r="F330" s="9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9"/>
      <c r="B331" s="9"/>
      <c r="C331" s="9"/>
      <c r="D331" s="9"/>
      <c r="E331" s="9"/>
      <c r="F331" s="9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9"/>
      <c r="B332" s="9"/>
      <c r="C332" s="9"/>
      <c r="D332" s="9"/>
      <c r="E332" s="9"/>
      <c r="F332" s="9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9"/>
      <c r="B333" s="9"/>
      <c r="C333" s="9"/>
      <c r="D333" s="9"/>
      <c r="E333" s="9"/>
      <c r="F333" s="9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/>
      <c r="B334" s="9"/>
      <c r="C334" s="9"/>
      <c r="D334" s="9"/>
      <c r="E334" s="9"/>
      <c r="F334" s="9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9"/>
      <c r="B335" s="9"/>
      <c r="C335" s="9"/>
      <c r="D335" s="9"/>
      <c r="E335" s="9"/>
      <c r="F335" s="9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9"/>
      <c r="B336" s="9"/>
      <c r="C336" s="9"/>
      <c r="D336" s="9"/>
      <c r="E336" s="9"/>
      <c r="F336" s="9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9"/>
      <c r="B337" s="9"/>
      <c r="C337" s="9"/>
      <c r="D337" s="9"/>
      <c r="E337" s="9"/>
      <c r="F337" s="9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9"/>
      <c r="B338" s="9"/>
      <c r="C338" s="9"/>
      <c r="D338" s="9"/>
      <c r="E338" s="9"/>
      <c r="F338" s="9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9"/>
      <c r="B339" s="9"/>
      <c r="C339" s="9"/>
      <c r="D339" s="9"/>
      <c r="E339" s="9"/>
      <c r="F339" s="9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/>
      <c r="B340" s="9"/>
      <c r="C340" s="9"/>
      <c r="D340" s="9"/>
      <c r="E340" s="9"/>
      <c r="F340" s="9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9"/>
      <c r="B341" s="9"/>
      <c r="C341" s="9"/>
      <c r="D341" s="9"/>
      <c r="E341" s="9"/>
      <c r="F341" s="9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/>
      <c r="B342" s="9"/>
      <c r="C342" s="9"/>
      <c r="D342" s="9"/>
      <c r="E342" s="9"/>
      <c r="F342" s="9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9"/>
      <c r="B343" s="9"/>
      <c r="C343" s="9"/>
      <c r="D343" s="9"/>
      <c r="E343" s="9"/>
      <c r="F343" s="9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/>
      <c r="B344" s="9"/>
      <c r="C344" s="9"/>
      <c r="D344" s="9"/>
      <c r="E344" s="9"/>
      <c r="F344" s="9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9"/>
      <c r="B345" s="9"/>
      <c r="C345" s="9"/>
      <c r="D345" s="9"/>
      <c r="E345" s="9"/>
      <c r="F345" s="9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/>
      <c r="B346" s="9"/>
      <c r="C346" s="9"/>
      <c r="D346" s="9"/>
      <c r="E346" s="9"/>
      <c r="F346" s="9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9"/>
      <c r="B347" s="9"/>
      <c r="C347" s="9"/>
      <c r="D347" s="9"/>
      <c r="E347" s="9"/>
      <c r="F347" s="9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9"/>
      <c r="B348" s="9"/>
      <c r="C348" s="9"/>
      <c r="D348" s="9"/>
      <c r="E348" s="9"/>
      <c r="F348" s="9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9"/>
      <c r="B349" s="9"/>
      <c r="C349" s="9"/>
      <c r="D349" s="9"/>
      <c r="E349" s="9"/>
      <c r="F349" s="9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/>
      <c r="B350" s="9"/>
      <c r="C350" s="9"/>
      <c r="D350" s="9"/>
      <c r="E350" s="9"/>
      <c r="F350" s="9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9"/>
      <c r="B351" s="9"/>
      <c r="C351" s="9"/>
      <c r="D351" s="9"/>
      <c r="E351" s="9"/>
      <c r="F351" s="9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/>
      <c r="B352" s="9"/>
      <c r="C352" s="9"/>
      <c r="D352" s="9"/>
      <c r="E352" s="9"/>
      <c r="F352" s="9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9"/>
      <c r="B353" s="9"/>
      <c r="C353" s="9"/>
      <c r="D353" s="9"/>
      <c r="E353" s="9"/>
      <c r="F353" s="9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/>
      <c r="B354" s="9"/>
      <c r="C354" s="9"/>
      <c r="D354" s="9"/>
      <c r="E354" s="9"/>
      <c r="F354" s="9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9"/>
      <c r="B355" s="9"/>
      <c r="C355" s="9"/>
      <c r="D355" s="9"/>
      <c r="E355" s="9"/>
      <c r="F355" s="9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9"/>
      <c r="B356" s="9"/>
      <c r="C356" s="9"/>
      <c r="D356" s="9"/>
      <c r="E356" s="9"/>
      <c r="F356" s="9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9"/>
      <c r="B357" s="9"/>
      <c r="C357" s="9"/>
      <c r="D357" s="9"/>
      <c r="E357" s="9"/>
      <c r="F357" s="9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/>
      <c r="B358" s="9"/>
      <c r="C358" s="9"/>
      <c r="D358" s="9"/>
      <c r="E358" s="9"/>
      <c r="F358" s="9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9"/>
      <c r="B359" s="9"/>
      <c r="C359" s="9"/>
      <c r="D359" s="9"/>
      <c r="E359" s="9"/>
      <c r="F359" s="9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9"/>
      <c r="B360" s="9"/>
      <c r="C360" s="9"/>
      <c r="D360" s="9"/>
      <c r="E360" s="9"/>
      <c r="F360" s="9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9"/>
      <c r="B361" s="9"/>
      <c r="C361" s="9"/>
      <c r="D361" s="9"/>
      <c r="E361" s="9"/>
      <c r="F361" s="9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9"/>
      <c r="B362" s="9"/>
      <c r="C362" s="9"/>
      <c r="D362" s="9"/>
      <c r="E362" s="9"/>
      <c r="F362" s="9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9"/>
      <c r="B363" s="9"/>
      <c r="C363" s="9"/>
      <c r="D363" s="9"/>
      <c r="E363" s="9"/>
      <c r="F363" s="9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/>
      <c r="B364" s="9"/>
      <c r="C364" s="9"/>
      <c r="D364" s="9"/>
      <c r="E364" s="9"/>
      <c r="F364" s="9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9"/>
      <c r="B365" s="9"/>
      <c r="C365" s="9"/>
      <c r="D365" s="9"/>
      <c r="E365" s="9"/>
      <c r="F365" s="9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/>
      <c r="B366" s="9"/>
      <c r="C366" s="9"/>
      <c r="D366" s="9"/>
      <c r="E366" s="9"/>
      <c r="F366" s="9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9"/>
      <c r="B367" s="9"/>
      <c r="C367" s="9"/>
      <c r="D367" s="9"/>
      <c r="E367" s="9"/>
      <c r="F367" s="9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9"/>
      <c r="B368" s="9"/>
      <c r="C368" s="9"/>
      <c r="D368" s="9"/>
      <c r="E368" s="9"/>
      <c r="F368" s="9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9"/>
      <c r="B369" s="9"/>
      <c r="C369" s="9"/>
      <c r="D369" s="9"/>
      <c r="E369" s="9"/>
      <c r="F369" s="9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/>
      <c r="B370" s="9"/>
      <c r="C370" s="9"/>
      <c r="D370" s="9"/>
      <c r="E370" s="9"/>
      <c r="F370" s="9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9"/>
      <c r="B371" s="9"/>
      <c r="C371" s="9"/>
      <c r="D371" s="9"/>
      <c r="E371" s="9"/>
      <c r="F371" s="9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9"/>
      <c r="B372" s="9"/>
      <c r="C372" s="9"/>
      <c r="D372" s="9"/>
      <c r="E372" s="9"/>
      <c r="F372" s="9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9"/>
      <c r="B373" s="9"/>
      <c r="C373" s="9"/>
      <c r="D373" s="9"/>
      <c r="E373" s="9"/>
      <c r="F373" s="9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9"/>
      <c r="B374" s="9"/>
      <c r="C374" s="9"/>
      <c r="D374" s="9"/>
      <c r="E374" s="9"/>
      <c r="F374" s="9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9"/>
      <c r="B375" s="9"/>
      <c r="C375" s="9"/>
      <c r="D375" s="9"/>
      <c r="E375" s="9"/>
      <c r="F375" s="9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9"/>
      <c r="B376" s="9"/>
      <c r="C376" s="9"/>
      <c r="D376" s="9"/>
      <c r="E376" s="9"/>
      <c r="F376" s="9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9"/>
      <c r="B377" s="9"/>
      <c r="C377" s="9"/>
      <c r="D377" s="9"/>
      <c r="E377" s="9"/>
      <c r="F377" s="9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/>
      <c r="B378" s="9"/>
      <c r="C378" s="9"/>
      <c r="D378" s="9"/>
      <c r="E378" s="9"/>
      <c r="F378" s="9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9"/>
      <c r="B379" s="9"/>
      <c r="C379" s="9"/>
      <c r="D379" s="9"/>
      <c r="E379" s="9"/>
      <c r="F379" s="9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9"/>
      <c r="B380" s="9"/>
      <c r="C380" s="9"/>
      <c r="D380" s="9"/>
      <c r="E380" s="9"/>
      <c r="F380" s="9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9"/>
      <c r="B381" s="9"/>
      <c r="C381" s="9"/>
      <c r="D381" s="9"/>
      <c r="E381" s="9"/>
      <c r="F381" s="9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/>
      <c r="B382" s="9"/>
      <c r="C382" s="9"/>
      <c r="D382" s="9"/>
      <c r="E382" s="9"/>
      <c r="F382" s="9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9"/>
      <c r="B383" s="9"/>
      <c r="C383" s="9"/>
      <c r="D383" s="9"/>
      <c r="E383" s="9"/>
      <c r="F383" s="9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/>
      <c r="B384" s="9"/>
      <c r="C384" s="9"/>
      <c r="D384" s="9"/>
      <c r="E384" s="9"/>
      <c r="F384" s="9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9"/>
      <c r="B385" s="9"/>
      <c r="C385" s="9"/>
      <c r="D385" s="9"/>
      <c r="E385" s="9"/>
      <c r="F385" s="9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/>
      <c r="B386" s="9"/>
      <c r="C386" s="9"/>
      <c r="D386" s="9"/>
      <c r="E386" s="9"/>
      <c r="F386" s="9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9"/>
      <c r="B387" s="9"/>
      <c r="C387" s="9"/>
      <c r="D387" s="9"/>
      <c r="E387" s="9"/>
      <c r="F387" s="9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/>
      <c r="B388" s="9"/>
      <c r="C388" s="9"/>
      <c r="D388" s="9"/>
      <c r="E388" s="9"/>
      <c r="F388" s="9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9"/>
      <c r="B389" s="9"/>
      <c r="C389" s="9"/>
      <c r="D389" s="9"/>
      <c r="E389" s="9"/>
      <c r="F389" s="9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/>
      <c r="B390" s="9"/>
      <c r="C390" s="9"/>
      <c r="D390" s="9"/>
      <c r="E390" s="9"/>
      <c r="F390" s="9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9"/>
      <c r="B391" s="9"/>
      <c r="C391" s="9"/>
      <c r="D391" s="9"/>
      <c r="E391" s="9"/>
      <c r="F391" s="9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/>
      <c r="B392" s="9"/>
      <c r="C392" s="9"/>
      <c r="D392" s="9"/>
      <c r="E392" s="9"/>
      <c r="F392" s="9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9"/>
      <c r="B393" s="9"/>
      <c r="C393" s="9"/>
      <c r="D393" s="9"/>
      <c r="E393" s="9"/>
      <c r="F393" s="9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/>
      <c r="B394" s="9"/>
      <c r="C394" s="9"/>
      <c r="D394" s="9"/>
      <c r="E394" s="9"/>
      <c r="F394" s="9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9"/>
      <c r="B395" s="9"/>
      <c r="C395" s="9"/>
      <c r="D395" s="9"/>
      <c r="E395" s="9"/>
      <c r="F395" s="9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/>
      <c r="B396" s="9"/>
      <c r="C396" s="9"/>
      <c r="D396" s="9"/>
      <c r="E396" s="9"/>
      <c r="F396" s="9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"/>
      <c r="B397" s="9"/>
      <c r="C397" s="9"/>
      <c r="D397" s="9"/>
      <c r="E397" s="9"/>
      <c r="F397" s="9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/>
      <c r="B398" s="9"/>
      <c r="C398" s="9"/>
      <c r="D398" s="9"/>
      <c r="E398" s="9"/>
      <c r="F398" s="9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"/>
      <c r="B399" s="9"/>
      <c r="C399" s="9"/>
      <c r="D399" s="9"/>
      <c r="E399" s="9"/>
      <c r="F399" s="9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/>
      <c r="B400" s="9"/>
      <c r="C400" s="9"/>
      <c r="D400" s="9"/>
      <c r="E400" s="9"/>
      <c r="F400" s="9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"/>
      <c r="B401" s="9"/>
      <c r="C401" s="9"/>
      <c r="D401" s="9"/>
      <c r="E401" s="9"/>
      <c r="F401" s="9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/>
      <c r="B402" s="9"/>
      <c r="C402" s="9"/>
      <c r="D402" s="9"/>
      <c r="E402" s="9"/>
      <c r="F402" s="9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"/>
      <c r="B403" s="9"/>
      <c r="C403" s="9"/>
      <c r="D403" s="9"/>
      <c r="E403" s="9"/>
      <c r="F403" s="9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/>
      <c r="B404" s="9"/>
      <c r="C404" s="9"/>
      <c r="D404" s="9"/>
      <c r="E404" s="9"/>
      <c r="F404" s="9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"/>
      <c r="B405" s="9"/>
      <c r="C405" s="9"/>
      <c r="D405" s="9"/>
      <c r="E405" s="9"/>
      <c r="F405" s="9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"/>
      <c r="B406" s="9"/>
      <c r="C406" s="9"/>
      <c r="D406" s="9"/>
      <c r="E406" s="9"/>
      <c r="F406" s="9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"/>
      <c r="B407" s="9"/>
      <c r="C407" s="9"/>
      <c r="D407" s="9"/>
      <c r="E407" s="9"/>
      <c r="F407" s="9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"/>
      <c r="B408" s="9"/>
      <c r="C408" s="9"/>
      <c r="D408" s="9"/>
      <c r="E408" s="9"/>
      <c r="F408" s="9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"/>
      <c r="B409" s="9"/>
      <c r="C409" s="9"/>
      <c r="D409" s="9"/>
      <c r="E409" s="9"/>
      <c r="F409" s="9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"/>
      <c r="B410" s="9"/>
      <c r="C410" s="9"/>
      <c r="D410" s="9"/>
      <c r="E410" s="9"/>
      <c r="F410" s="9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9"/>
      <c r="B411" s="9"/>
      <c r="C411" s="9"/>
      <c r="D411" s="9"/>
      <c r="E411" s="9"/>
      <c r="F411" s="9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/>
      <c r="B412" s="9"/>
      <c r="C412" s="9"/>
      <c r="D412" s="9"/>
      <c r="E412" s="9"/>
      <c r="F412" s="9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"/>
      <c r="B413" s="9"/>
      <c r="C413" s="9"/>
      <c r="D413" s="9"/>
      <c r="E413" s="9"/>
      <c r="F413" s="9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"/>
      <c r="B414" s="9"/>
      <c r="C414" s="9"/>
      <c r="D414" s="9"/>
      <c r="E414" s="9"/>
      <c r="F414" s="9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9"/>
      <c r="B415" s="9"/>
      <c r="C415" s="9"/>
      <c r="D415" s="9"/>
      <c r="E415" s="9"/>
      <c r="F415" s="9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9"/>
      <c r="B416" s="9"/>
      <c r="C416" s="9"/>
      <c r="D416" s="9"/>
      <c r="E416" s="9"/>
      <c r="F416" s="9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"/>
      <c r="B417" s="9"/>
      <c r="C417" s="9"/>
      <c r="D417" s="9"/>
      <c r="E417" s="9"/>
      <c r="F417" s="9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"/>
      <c r="B418" s="9"/>
      <c r="C418" s="9"/>
      <c r="D418" s="9"/>
      <c r="E418" s="9"/>
      <c r="F418" s="9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"/>
      <c r="B419" s="9"/>
      <c r="C419" s="9"/>
      <c r="D419" s="9"/>
      <c r="E419" s="9"/>
      <c r="F419" s="9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/>
      <c r="B420" s="9"/>
      <c r="C420" s="9"/>
      <c r="D420" s="9"/>
      <c r="E420" s="9"/>
      <c r="F420" s="9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9"/>
      <c r="B421" s="9"/>
      <c r="C421" s="9"/>
      <c r="D421" s="9"/>
      <c r="E421" s="9"/>
      <c r="F421" s="9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/>
      <c r="B422" s="9"/>
      <c r="C422" s="9"/>
      <c r="D422" s="9"/>
      <c r="E422" s="9"/>
      <c r="F422" s="9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"/>
      <c r="B423" s="9"/>
      <c r="C423" s="9"/>
      <c r="D423" s="9"/>
      <c r="E423" s="9"/>
      <c r="F423" s="9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/>
      <c r="B424" s="9"/>
      <c r="C424" s="9"/>
      <c r="D424" s="9"/>
      <c r="E424" s="9"/>
      <c r="F424" s="9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"/>
      <c r="B425" s="9"/>
      <c r="C425" s="9"/>
      <c r="D425" s="9"/>
      <c r="E425" s="9"/>
      <c r="F425" s="9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/>
      <c r="B426" s="9"/>
      <c r="C426" s="9"/>
      <c r="D426" s="9"/>
      <c r="E426" s="9"/>
      <c r="F426" s="9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9"/>
      <c r="B427" s="9"/>
      <c r="C427" s="9"/>
      <c r="D427" s="9"/>
      <c r="E427" s="9"/>
      <c r="F427" s="9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/>
      <c r="B428" s="9"/>
      <c r="C428" s="9"/>
      <c r="D428" s="9"/>
      <c r="E428" s="9"/>
      <c r="F428" s="9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9"/>
      <c r="B429" s="9"/>
      <c r="C429" s="9"/>
      <c r="D429" s="9"/>
      <c r="E429" s="9"/>
      <c r="F429" s="9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/>
      <c r="B430" s="9"/>
      <c r="C430" s="9"/>
      <c r="D430" s="9"/>
      <c r="E430" s="9"/>
      <c r="F430" s="9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9"/>
      <c r="B431" s="9"/>
      <c r="C431" s="9"/>
      <c r="D431" s="9"/>
      <c r="E431" s="9"/>
      <c r="F431" s="9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/>
      <c r="B432" s="9"/>
      <c r="C432" s="9"/>
      <c r="D432" s="9"/>
      <c r="E432" s="9"/>
      <c r="F432" s="9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9"/>
      <c r="B433" s="9"/>
      <c r="C433" s="9"/>
      <c r="D433" s="9"/>
      <c r="E433" s="9"/>
      <c r="F433" s="9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/>
      <c r="B434" s="9"/>
      <c r="C434" s="9"/>
      <c r="D434" s="9"/>
      <c r="E434" s="9"/>
      <c r="F434" s="9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9"/>
      <c r="B435" s="9"/>
      <c r="C435" s="9"/>
      <c r="D435" s="9"/>
      <c r="E435" s="9"/>
      <c r="F435" s="9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/>
      <c r="B436" s="9"/>
      <c r="C436" s="9"/>
      <c r="D436" s="9"/>
      <c r="E436" s="9"/>
      <c r="F436" s="9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9"/>
      <c r="B437" s="9"/>
      <c r="C437" s="9"/>
      <c r="D437" s="9"/>
      <c r="E437" s="9"/>
      <c r="F437" s="9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/>
      <c r="B438" s="9"/>
      <c r="C438" s="9"/>
      <c r="D438" s="9"/>
      <c r="E438" s="9"/>
      <c r="F438" s="9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9"/>
      <c r="B439" s="9"/>
      <c r="C439" s="9"/>
      <c r="D439" s="9"/>
      <c r="E439" s="9"/>
      <c r="F439" s="9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/>
      <c r="B440" s="9"/>
      <c r="C440" s="9"/>
      <c r="D440" s="9"/>
      <c r="E440" s="9"/>
      <c r="F440" s="9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9"/>
      <c r="B441" s="9"/>
      <c r="C441" s="9"/>
      <c r="D441" s="9"/>
      <c r="E441" s="9"/>
      <c r="F441" s="9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/>
      <c r="B442" s="9"/>
      <c r="C442" s="9"/>
      <c r="D442" s="9"/>
      <c r="E442" s="9"/>
      <c r="F442" s="9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9"/>
      <c r="B443" s="9"/>
      <c r="C443" s="9"/>
      <c r="D443" s="9"/>
      <c r="E443" s="9"/>
      <c r="F443" s="9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/>
      <c r="B444" s="9"/>
      <c r="C444" s="9"/>
      <c r="D444" s="9"/>
      <c r="E444" s="9"/>
      <c r="F444" s="9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9"/>
      <c r="B445" s="9"/>
      <c r="C445" s="9"/>
      <c r="D445" s="9"/>
      <c r="E445" s="9"/>
      <c r="F445" s="9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/>
      <c r="B446" s="9"/>
      <c r="C446" s="9"/>
      <c r="D446" s="9"/>
      <c r="E446" s="9"/>
      <c r="F446" s="9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9"/>
      <c r="B447" s="9"/>
      <c r="C447" s="9"/>
      <c r="D447" s="9"/>
      <c r="E447" s="9"/>
      <c r="F447" s="9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/>
      <c r="B448" s="9"/>
      <c r="C448" s="9"/>
      <c r="D448" s="9"/>
      <c r="E448" s="9"/>
      <c r="F448" s="9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9"/>
      <c r="B449" s="9"/>
      <c r="C449" s="9"/>
      <c r="D449" s="9"/>
      <c r="E449" s="9"/>
      <c r="F449" s="9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/>
      <c r="B450" s="9"/>
      <c r="C450" s="9"/>
      <c r="D450" s="9"/>
      <c r="E450" s="9"/>
      <c r="F450" s="9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9"/>
      <c r="B451" s="9"/>
      <c r="C451" s="9"/>
      <c r="D451" s="9"/>
      <c r="E451" s="9"/>
      <c r="F451" s="9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/>
      <c r="B452" s="9"/>
      <c r="C452" s="9"/>
      <c r="D452" s="9"/>
      <c r="E452" s="9"/>
      <c r="F452" s="9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9"/>
      <c r="B453" s="9"/>
      <c r="C453" s="9"/>
      <c r="D453" s="9"/>
      <c r="E453" s="9"/>
      <c r="F453" s="9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/>
      <c r="B454" s="9"/>
      <c r="C454" s="9"/>
      <c r="D454" s="9"/>
      <c r="E454" s="9"/>
      <c r="F454" s="9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9"/>
      <c r="B455" s="9"/>
      <c r="C455" s="9"/>
      <c r="D455" s="9"/>
      <c r="E455" s="9"/>
      <c r="F455" s="9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/>
      <c r="B456" s="9"/>
      <c r="C456" s="9"/>
      <c r="D456" s="9"/>
      <c r="E456" s="9"/>
      <c r="F456" s="9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9"/>
      <c r="B457" s="9"/>
      <c r="C457" s="9"/>
      <c r="D457" s="9"/>
      <c r="E457" s="9"/>
      <c r="F457" s="9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/>
      <c r="B458" s="9"/>
      <c r="C458" s="9"/>
      <c r="D458" s="9"/>
      <c r="E458" s="9"/>
      <c r="F458" s="9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9"/>
      <c r="B459" s="9"/>
      <c r="C459" s="9"/>
      <c r="D459" s="9"/>
      <c r="E459" s="9"/>
      <c r="F459" s="9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/>
      <c r="B460" s="9"/>
      <c r="C460" s="9"/>
      <c r="D460" s="9"/>
      <c r="E460" s="9"/>
      <c r="F460" s="9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9"/>
      <c r="B461" s="9"/>
      <c r="C461" s="9"/>
      <c r="D461" s="9"/>
      <c r="E461" s="9"/>
      <c r="F461" s="9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/>
      <c r="B462" s="9"/>
      <c r="C462" s="9"/>
      <c r="D462" s="9"/>
      <c r="E462" s="9"/>
      <c r="F462" s="9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9"/>
      <c r="B463" s="9"/>
      <c r="C463" s="9"/>
      <c r="D463" s="9"/>
      <c r="E463" s="9"/>
      <c r="F463" s="9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/>
      <c r="B464" s="9"/>
      <c r="C464" s="9"/>
      <c r="D464" s="9"/>
      <c r="E464" s="9"/>
      <c r="F464" s="9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9"/>
      <c r="B465" s="9"/>
      <c r="C465" s="9"/>
      <c r="D465" s="9"/>
      <c r="E465" s="9"/>
      <c r="F465" s="9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/>
      <c r="B466" s="9"/>
      <c r="C466" s="9"/>
      <c r="D466" s="9"/>
      <c r="E466" s="9"/>
      <c r="F466" s="9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9"/>
      <c r="B467" s="9"/>
      <c r="C467" s="9"/>
      <c r="D467" s="9"/>
      <c r="E467" s="9"/>
      <c r="F467" s="9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/>
      <c r="B468" s="9"/>
      <c r="C468" s="9"/>
      <c r="D468" s="9"/>
      <c r="E468" s="9"/>
      <c r="F468" s="9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9"/>
      <c r="B469" s="9"/>
      <c r="C469" s="9"/>
      <c r="D469" s="9"/>
      <c r="E469" s="9"/>
      <c r="F469" s="9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/>
      <c r="B470" s="9"/>
      <c r="C470" s="9"/>
      <c r="D470" s="9"/>
      <c r="E470" s="9"/>
      <c r="F470" s="9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9"/>
      <c r="B471" s="9"/>
      <c r="C471" s="9"/>
      <c r="D471" s="9"/>
      <c r="E471" s="9"/>
      <c r="F471" s="9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/>
      <c r="B472" s="9"/>
      <c r="C472" s="9"/>
      <c r="D472" s="9"/>
      <c r="E472" s="9"/>
      <c r="F472" s="9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9"/>
      <c r="B473" s="9"/>
      <c r="C473" s="9"/>
      <c r="D473" s="9"/>
      <c r="E473" s="9"/>
      <c r="F473" s="9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/>
      <c r="B474" s="9"/>
      <c r="C474" s="9"/>
      <c r="D474" s="9"/>
      <c r="E474" s="9"/>
      <c r="F474" s="9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9"/>
      <c r="B475" s="9"/>
      <c r="C475" s="9"/>
      <c r="D475" s="9"/>
      <c r="E475" s="9"/>
      <c r="F475" s="9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/>
      <c r="B476" s="9"/>
      <c r="C476" s="9"/>
      <c r="D476" s="9"/>
      <c r="E476" s="9"/>
      <c r="F476" s="9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9"/>
      <c r="B477" s="9"/>
      <c r="C477" s="9"/>
      <c r="D477" s="9"/>
      <c r="E477" s="9"/>
      <c r="F477" s="9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/>
      <c r="B478" s="9"/>
      <c r="C478" s="9"/>
      <c r="D478" s="9"/>
      <c r="E478" s="9"/>
      <c r="F478" s="9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9"/>
      <c r="B479" s="9"/>
      <c r="C479" s="9"/>
      <c r="D479" s="9"/>
      <c r="E479" s="9"/>
      <c r="F479" s="9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/>
      <c r="B480" s="9"/>
      <c r="C480" s="9"/>
      <c r="D480" s="9"/>
      <c r="E480" s="9"/>
      <c r="F480" s="9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9"/>
      <c r="B481" s="9"/>
      <c r="C481" s="9"/>
      <c r="D481" s="9"/>
      <c r="E481" s="9"/>
      <c r="F481" s="9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/>
      <c r="B482" s="9"/>
      <c r="C482" s="9"/>
      <c r="D482" s="9"/>
      <c r="E482" s="9"/>
      <c r="F482" s="9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9"/>
      <c r="B483" s="9"/>
      <c r="C483" s="9"/>
      <c r="D483" s="9"/>
      <c r="E483" s="9"/>
      <c r="F483" s="9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/>
      <c r="B484" s="9"/>
      <c r="C484" s="9"/>
      <c r="D484" s="9"/>
      <c r="E484" s="9"/>
      <c r="F484" s="9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9"/>
      <c r="B485" s="9"/>
      <c r="C485" s="9"/>
      <c r="D485" s="9"/>
      <c r="E485" s="9"/>
      <c r="F485" s="9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/>
      <c r="B486" s="9"/>
      <c r="C486" s="9"/>
      <c r="D486" s="9"/>
      <c r="E486" s="9"/>
      <c r="F486" s="9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9"/>
      <c r="B487" s="9"/>
      <c r="C487" s="9"/>
      <c r="D487" s="9"/>
      <c r="E487" s="9"/>
      <c r="F487" s="9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/>
      <c r="B488" s="9"/>
      <c r="C488" s="9"/>
      <c r="D488" s="9"/>
      <c r="E488" s="9"/>
      <c r="F488" s="9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9"/>
      <c r="B489" s="9"/>
      <c r="C489" s="9"/>
      <c r="D489" s="9"/>
      <c r="E489" s="9"/>
      <c r="F489" s="9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/>
      <c r="B490" s="9"/>
      <c r="C490" s="9"/>
      <c r="D490" s="9"/>
      <c r="E490" s="9"/>
      <c r="F490" s="9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9"/>
      <c r="B491" s="9"/>
      <c r="C491" s="9"/>
      <c r="D491" s="9"/>
      <c r="E491" s="9"/>
      <c r="F491" s="9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9"/>
      <c r="B492" s="9"/>
      <c r="C492" s="9"/>
      <c r="D492" s="9"/>
      <c r="E492" s="9"/>
      <c r="F492" s="9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9"/>
      <c r="B493" s="9"/>
      <c r="C493" s="9"/>
      <c r="D493" s="9"/>
      <c r="E493" s="9"/>
      <c r="F493" s="9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9"/>
      <c r="B494" s="9"/>
      <c r="C494" s="9"/>
      <c r="D494" s="9"/>
      <c r="E494" s="9"/>
      <c r="F494" s="9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9"/>
      <c r="B495" s="9"/>
      <c r="C495" s="9"/>
      <c r="D495" s="9"/>
      <c r="E495" s="9"/>
      <c r="F495" s="9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/>
      <c r="B496" s="9"/>
      <c r="C496" s="9"/>
      <c r="D496" s="9"/>
      <c r="E496" s="9"/>
      <c r="F496" s="9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9"/>
      <c r="B497" s="9"/>
      <c r="C497" s="9"/>
      <c r="D497" s="9"/>
      <c r="E497" s="9"/>
      <c r="F497" s="9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/>
      <c r="B498" s="9"/>
      <c r="C498" s="9"/>
      <c r="D498" s="9"/>
      <c r="E498" s="9"/>
      <c r="F498" s="9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9"/>
      <c r="B499" s="9"/>
      <c r="C499" s="9"/>
      <c r="D499" s="9"/>
      <c r="E499" s="9"/>
      <c r="F499" s="9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9"/>
      <c r="B500" s="9"/>
      <c r="C500" s="9"/>
      <c r="D500" s="9"/>
      <c r="E500" s="9"/>
      <c r="F500" s="9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9"/>
      <c r="B501" s="9"/>
      <c r="C501" s="9"/>
      <c r="D501" s="9"/>
      <c r="E501" s="9"/>
      <c r="F501" s="9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/>
      <c r="B502" s="9"/>
      <c r="C502" s="9"/>
      <c r="D502" s="9"/>
      <c r="E502" s="9"/>
      <c r="F502" s="9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9"/>
      <c r="B503" s="9"/>
      <c r="C503" s="9"/>
      <c r="D503" s="9"/>
      <c r="E503" s="9"/>
      <c r="F503" s="9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/>
      <c r="B504" s="9"/>
      <c r="C504" s="9"/>
      <c r="D504" s="9"/>
      <c r="E504" s="9"/>
      <c r="F504" s="9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9"/>
      <c r="B505" s="9"/>
      <c r="C505" s="9"/>
      <c r="D505" s="9"/>
      <c r="E505" s="9"/>
      <c r="F505" s="9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9"/>
      <c r="B506" s="9"/>
      <c r="C506" s="9"/>
      <c r="D506" s="9"/>
      <c r="E506" s="9"/>
      <c r="F506" s="9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9"/>
      <c r="B507" s="9"/>
      <c r="C507" s="9"/>
      <c r="D507" s="9"/>
      <c r="E507" s="9"/>
      <c r="F507" s="9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9"/>
      <c r="B508" s="9"/>
      <c r="C508" s="9"/>
      <c r="D508" s="9"/>
      <c r="E508" s="9"/>
      <c r="F508" s="9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9"/>
      <c r="B509" s="9"/>
      <c r="C509" s="9"/>
      <c r="D509" s="9"/>
      <c r="E509" s="9"/>
      <c r="F509" s="9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9"/>
      <c r="B510" s="9"/>
      <c r="C510" s="9"/>
      <c r="D510" s="9"/>
      <c r="E510" s="9"/>
      <c r="F510" s="9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9"/>
      <c r="B511" s="9"/>
      <c r="C511" s="9"/>
      <c r="D511" s="9"/>
      <c r="E511" s="9"/>
      <c r="F511" s="9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/>
      <c r="B512" s="9"/>
      <c r="C512" s="9"/>
      <c r="D512" s="9"/>
      <c r="E512" s="9"/>
      <c r="F512" s="9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"/>
      <c r="B513" s="9"/>
      <c r="C513" s="9"/>
      <c r="D513" s="9"/>
      <c r="E513" s="9"/>
      <c r="F513" s="9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/>
      <c r="B514" s="9"/>
      <c r="C514" s="9"/>
      <c r="D514" s="9"/>
      <c r="E514" s="9"/>
      <c r="F514" s="9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"/>
      <c r="B515" s="9"/>
      <c r="C515" s="9"/>
      <c r="D515" s="9"/>
      <c r="E515" s="9"/>
      <c r="F515" s="9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/>
      <c r="B516" s="9"/>
      <c r="C516" s="9"/>
      <c r="D516" s="9"/>
      <c r="E516" s="9"/>
      <c r="F516" s="9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9"/>
      <c r="B517" s="9"/>
      <c r="C517" s="9"/>
      <c r="D517" s="9"/>
      <c r="E517" s="9"/>
      <c r="F517" s="9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/>
      <c r="B518" s="9"/>
      <c r="C518" s="9"/>
      <c r="D518" s="9"/>
      <c r="E518" s="9"/>
      <c r="F518" s="9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"/>
      <c r="B519" s="9"/>
      <c r="C519" s="9"/>
      <c r="D519" s="9"/>
      <c r="E519" s="9"/>
      <c r="F519" s="9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/>
      <c r="B520" s="9"/>
      <c r="C520" s="9"/>
      <c r="D520" s="9"/>
      <c r="E520" s="9"/>
      <c r="F520" s="9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"/>
      <c r="B521" s="9"/>
      <c r="C521" s="9"/>
      <c r="D521" s="9"/>
      <c r="E521" s="9"/>
      <c r="F521" s="9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/>
      <c r="B522" s="9"/>
      <c r="C522" s="9"/>
      <c r="D522" s="9"/>
      <c r="E522" s="9"/>
      <c r="F522" s="9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9"/>
      <c r="B523" s="9"/>
      <c r="C523" s="9"/>
      <c r="D523" s="9"/>
      <c r="E523" s="9"/>
      <c r="F523" s="9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9"/>
      <c r="B524" s="9"/>
      <c r="C524" s="9"/>
      <c r="D524" s="9"/>
      <c r="E524" s="9"/>
      <c r="F524" s="9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"/>
      <c r="B525" s="9"/>
      <c r="C525" s="9"/>
      <c r="D525" s="9"/>
      <c r="E525" s="9"/>
      <c r="F525" s="9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"/>
      <c r="B526" s="9"/>
      <c r="C526" s="9"/>
      <c r="D526" s="9"/>
      <c r="E526" s="9"/>
      <c r="F526" s="9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"/>
      <c r="B527" s="9"/>
      <c r="C527" s="9"/>
      <c r="D527" s="9"/>
      <c r="E527" s="9"/>
      <c r="F527" s="9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/>
      <c r="B528" s="9"/>
      <c r="C528" s="9"/>
      <c r="D528" s="9"/>
      <c r="E528" s="9"/>
      <c r="F528" s="9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9"/>
      <c r="B529" s="9"/>
      <c r="C529" s="9"/>
      <c r="D529" s="9"/>
      <c r="E529" s="9"/>
      <c r="F529" s="9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/>
      <c r="B530" s="9"/>
      <c r="C530" s="9"/>
      <c r="D530" s="9"/>
      <c r="E530" s="9"/>
      <c r="F530" s="9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9"/>
      <c r="B531" s="9"/>
      <c r="C531" s="9"/>
      <c r="D531" s="9"/>
      <c r="E531" s="9"/>
      <c r="F531" s="9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/>
      <c r="B532" s="9"/>
      <c r="C532" s="9"/>
      <c r="D532" s="9"/>
      <c r="E532" s="9"/>
      <c r="F532" s="9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9"/>
      <c r="B533" s="9"/>
      <c r="C533" s="9"/>
      <c r="D533" s="9"/>
      <c r="E533" s="9"/>
      <c r="F533" s="9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/>
      <c r="B534" s="9"/>
      <c r="C534" s="9"/>
      <c r="D534" s="9"/>
      <c r="E534" s="9"/>
      <c r="F534" s="9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9"/>
      <c r="B535" s="9"/>
      <c r="C535" s="9"/>
      <c r="D535" s="9"/>
      <c r="E535" s="9"/>
      <c r="F535" s="9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/>
      <c r="B536" s="9"/>
      <c r="C536" s="9"/>
      <c r="D536" s="9"/>
      <c r="E536" s="9"/>
      <c r="F536" s="9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9"/>
      <c r="B537" s="9"/>
      <c r="C537" s="9"/>
      <c r="D537" s="9"/>
      <c r="E537" s="9"/>
      <c r="F537" s="9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9"/>
      <c r="B538" s="9"/>
      <c r="C538" s="9"/>
      <c r="D538" s="9"/>
      <c r="E538" s="9"/>
      <c r="F538" s="9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9"/>
      <c r="B539" s="9"/>
      <c r="C539" s="9"/>
      <c r="D539" s="9"/>
      <c r="E539" s="9"/>
      <c r="F539" s="9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9"/>
      <c r="B540" s="9"/>
      <c r="C540" s="9"/>
      <c r="D540" s="9"/>
      <c r="E540" s="9"/>
      <c r="F540" s="9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9"/>
      <c r="B541" s="9"/>
      <c r="C541" s="9"/>
      <c r="D541" s="9"/>
      <c r="E541" s="9"/>
      <c r="F541" s="9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9"/>
      <c r="B542" s="9"/>
      <c r="C542" s="9"/>
      <c r="D542" s="9"/>
      <c r="E542" s="9"/>
      <c r="F542" s="9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9"/>
      <c r="B543" s="9"/>
      <c r="C543" s="9"/>
      <c r="D543" s="9"/>
      <c r="E543" s="9"/>
      <c r="F543" s="9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/>
      <c r="B544" s="9"/>
      <c r="C544" s="9"/>
      <c r="D544" s="9"/>
      <c r="E544" s="9"/>
      <c r="F544" s="9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9"/>
      <c r="B545" s="9"/>
      <c r="C545" s="9"/>
      <c r="D545" s="9"/>
      <c r="E545" s="9"/>
      <c r="F545" s="9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9"/>
      <c r="B546" s="9"/>
      <c r="C546" s="9"/>
      <c r="D546" s="9"/>
      <c r="E546" s="9"/>
      <c r="F546" s="9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9"/>
      <c r="B547" s="9"/>
      <c r="C547" s="9"/>
      <c r="D547" s="9"/>
      <c r="E547" s="9"/>
      <c r="F547" s="9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/>
      <c r="B548" s="9"/>
      <c r="C548" s="9"/>
      <c r="D548" s="9"/>
      <c r="E548" s="9"/>
      <c r="F548" s="9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9"/>
      <c r="B549" s="9"/>
      <c r="C549" s="9"/>
      <c r="D549" s="9"/>
      <c r="E549" s="9"/>
      <c r="F549" s="9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/>
      <c r="B550" s="9"/>
      <c r="C550" s="9"/>
      <c r="D550" s="9"/>
      <c r="E550" s="9"/>
      <c r="F550" s="9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9"/>
      <c r="B551" s="9"/>
      <c r="C551" s="9"/>
      <c r="D551" s="9"/>
      <c r="E551" s="9"/>
      <c r="F551" s="9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9"/>
      <c r="B552" s="9"/>
      <c r="C552" s="9"/>
      <c r="D552" s="9"/>
      <c r="E552" s="9"/>
      <c r="F552" s="9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9"/>
      <c r="B553" s="9"/>
      <c r="C553" s="9"/>
      <c r="D553" s="9"/>
      <c r="E553" s="9"/>
      <c r="F553" s="9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/>
      <c r="B554" s="9"/>
      <c r="C554" s="9"/>
      <c r="D554" s="9"/>
      <c r="E554" s="9"/>
      <c r="F554" s="9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9"/>
      <c r="B555" s="9"/>
      <c r="C555" s="9"/>
      <c r="D555" s="9"/>
      <c r="E555" s="9"/>
      <c r="F555" s="9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/>
      <c r="B556" s="9"/>
      <c r="C556" s="9"/>
      <c r="D556" s="9"/>
      <c r="E556" s="9"/>
      <c r="F556" s="9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9"/>
      <c r="B557" s="9"/>
      <c r="C557" s="9"/>
      <c r="D557" s="9"/>
      <c r="E557" s="9"/>
      <c r="F557" s="9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/>
      <c r="B558" s="9"/>
      <c r="C558" s="9"/>
      <c r="D558" s="9"/>
      <c r="E558" s="9"/>
      <c r="F558" s="9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9"/>
      <c r="B559" s="9"/>
      <c r="C559" s="9"/>
      <c r="D559" s="9"/>
      <c r="E559" s="9"/>
      <c r="F559" s="9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/>
      <c r="B560" s="9"/>
      <c r="C560" s="9"/>
      <c r="D560" s="9"/>
      <c r="E560" s="9"/>
      <c r="F560" s="9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9"/>
      <c r="B561" s="9"/>
      <c r="C561" s="9"/>
      <c r="D561" s="9"/>
      <c r="E561" s="9"/>
      <c r="F561" s="9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9"/>
      <c r="B562" s="9"/>
      <c r="C562" s="9"/>
      <c r="D562" s="9"/>
      <c r="E562" s="9"/>
      <c r="F562" s="9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9"/>
      <c r="B563" s="9"/>
      <c r="C563" s="9"/>
      <c r="D563" s="9"/>
      <c r="E563" s="9"/>
      <c r="F563" s="9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/>
      <c r="B564" s="9"/>
      <c r="C564" s="9"/>
      <c r="D564" s="9"/>
      <c r="E564" s="9"/>
      <c r="F564" s="9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9"/>
      <c r="B565" s="9"/>
      <c r="C565" s="9"/>
      <c r="D565" s="9"/>
      <c r="E565" s="9"/>
      <c r="F565" s="9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9"/>
      <c r="B566" s="9"/>
      <c r="C566" s="9"/>
      <c r="D566" s="9"/>
      <c r="E566" s="9"/>
      <c r="F566" s="9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9"/>
      <c r="B567" s="9"/>
      <c r="C567" s="9"/>
      <c r="D567" s="9"/>
      <c r="E567" s="9"/>
      <c r="F567" s="9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/>
      <c r="B568" s="9"/>
      <c r="C568" s="9"/>
      <c r="D568" s="9"/>
      <c r="E568" s="9"/>
      <c r="F568" s="9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9"/>
      <c r="B569" s="9"/>
      <c r="C569" s="9"/>
      <c r="D569" s="9"/>
      <c r="E569" s="9"/>
      <c r="F569" s="9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/>
      <c r="B570" s="9"/>
      <c r="C570" s="9"/>
      <c r="D570" s="9"/>
      <c r="E570" s="9"/>
      <c r="F570" s="9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9"/>
      <c r="B571" s="9"/>
      <c r="C571" s="9"/>
      <c r="D571" s="9"/>
      <c r="E571" s="9"/>
      <c r="F571" s="9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/>
      <c r="B572" s="9"/>
      <c r="C572" s="9"/>
      <c r="D572" s="9"/>
      <c r="E572" s="9"/>
      <c r="F572" s="9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9"/>
      <c r="B573" s="9"/>
      <c r="C573" s="9"/>
      <c r="D573" s="9"/>
      <c r="E573" s="9"/>
      <c r="F573" s="9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/>
      <c r="B574" s="9"/>
      <c r="C574" s="9"/>
      <c r="D574" s="9"/>
      <c r="E574" s="9"/>
      <c r="F574" s="9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9"/>
      <c r="B575" s="9"/>
      <c r="C575" s="9"/>
      <c r="D575" s="9"/>
      <c r="E575" s="9"/>
      <c r="F575" s="9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/>
      <c r="B576" s="9"/>
      <c r="C576" s="9"/>
      <c r="D576" s="9"/>
      <c r="E576" s="9"/>
      <c r="F576" s="9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9"/>
      <c r="B577" s="9"/>
      <c r="C577" s="9"/>
      <c r="D577" s="9"/>
      <c r="E577" s="9"/>
      <c r="F577" s="9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/>
      <c r="B578" s="9"/>
      <c r="C578" s="9"/>
      <c r="D578" s="9"/>
      <c r="E578" s="9"/>
      <c r="F578" s="9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9"/>
      <c r="B579" s="9"/>
      <c r="C579" s="9"/>
      <c r="D579" s="9"/>
      <c r="E579" s="9"/>
      <c r="F579" s="9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/>
      <c r="B580" s="9"/>
      <c r="C580" s="9"/>
      <c r="D580" s="9"/>
      <c r="E580" s="9"/>
      <c r="F580" s="9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9"/>
      <c r="B581" s="9"/>
      <c r="C581" s="9"/>
      <c r="D581" s="9"/>
      <c r="E581" s="9"/>
      <c r="F581" s="9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/>
      <c r="B582" s="9"/>
      <c r="C582" s="9"/>
      <c r="D582" s="9"/>
      <c r="E582" s="9"/>
      <c r="F582" s="9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9"/>
      <c r="B583" s="9"/>
      <c r="C583" s="9"/>
      <c r="D583" s="9"/>
      <c r="E583" s="9"/>
      <c r="F583" s="9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/>
      <c r="B584" s="9"/>
      <c r="C584" s="9"/>
      <c r="D584" s="9"/>
      <c r="E584" s="9"/>
      <c r="F584" s="9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9"/>
      <c r="B585" s="9"/>
      <c r="C585" s="9"/>
      <c r="D585" s="9"/>
      <c r="E585" s="9"/>
      <c r="F585" s="9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/>
      <c r="B586" s="9"/>
      <c r="C586" s="9"/>
      <c r="D586" s="9"/>
      <c r="E586" s="9"/>
      <c r="F586" s="9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9"/>
      <c r="B587" s="9"/>
      <c r="C587" s="9"/>
      <c r="D587" s="9"/>
      <c r="E587" s="9"/>
      <c r="F587" s="9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/>
      <c r="B588" s="9"/>
      <c r="C588" s="9"/>
      <c r="D588" s="9"/>
      <c r="E588" s="9"/>
      <c r="F588" s="9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9"/>
      <c r="B589" s="9"/>
      <c r="C589" s="9"/>
      <c r="D589" s="9"/>
      <c r="E589" s="9"/>
      <c r="F589" s="9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/>
      <c r="B590" s="9"/>
      <c r="C590" s="9"/>
      <c r="D590" s="9"/>
      <c r="E590" s="9"/>
      <c r="F590" s="9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9"/>
      <c r="B591" s="9"/>
      <c r="C591" s="9"/>
      <c r="D591" s="9"/>
      <c r="E591" s="9"/>
      <c r="F591" s="9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/>
      <c r="B592" s="9"/>
      <c r="C592" s="9"/>
      <c r="D592" s="9"/>
      <c r="E592" s="9"/>
      <c r="F592" s="9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9"/>
      <c r="B593" s="9"/>
      <c r="C593" s="9"/>
      <c r="D593" s="9"/>
      <c r="E593" s="9"/>
      <c r="F593" s="9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9"/>
      <c r="B594" s="9"/>
      <c r="C594" s="9"/>
      <c r="D594" s="9"/>
      <c r="E594" s="9"/>
      <c r="F594" s="9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9"/>
      <c r="B595" s="9"/>
      <c r="C595" s="9"/>
      <c r="D595" s="9"/>
      <c r="E595" s="9"/>
      <c r="F595" s="9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9"/>
      <c r="B596" s="9"/>
      <c r="C596" s="9"/>
      <c r="D596" s="9"/>
      <c r="E596" s="9"/>
      <c r="F596" s="9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9"/>
      <c r="B597" s="9"/>
      <c r="C597" s="9"/>
      <c r="D597" s="9"/>
      <c r="E597" s="9"/>
      <c r="F597" s="9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/>
      <c r="B598" s="9"/>
      <c r="C598" s="9"/>
      <c r="D598" s="9"/>
      <c r="E598" s="9"/>
      <c r="F598" s="9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9"/>
      <c r="B599" s="9"/>
      <c r="C599" s="9"/>
      <c r="D599" s="9"/>
      <c r="E599" s="9"/>
      <c r="F599" s="9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9"/>
      <c r="B600" s="9"/>
      <c r="C600" s="9"/>
      <c r="D600" s="9"/>
      <c r="E600" s="9"/>
      <c r="F600" s="9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9"/>
      <c r="B601" s="9"/>
      <c r="C601" s="9"/>
      <c r="D601" s="9"/>
      <c r="E601" s="9"/>
      <c r="F601" s="9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9"/>
      <c r="B602" s="9"/>
      <c r="C602" s="9"/>
      <c r="D602" s="9"/>
      <c r="E602" s="9"/>
      <c r="F602" s="9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9"/>
      <c r="B603" s="9"/>
      <c r="C603" s="9"/>
      <c r="D603" s="9"/>
      <c r="E603" s="9"/>
      <c r="F603" s="9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9"/>
      <c r="B604" s="9"/>
      <c r="C604" s="9"/>
      <c r="D604" s="9"/>
      <c r="E604" s="9"/>
      <c r="F604" s="9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9"/>
      <c r="B605" s="9"/>
      <c r="C605" s="9"/>
      <c r="D605" s="9"/>
      <c r="E605" s="9"/>
      <c r="F605" s="9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9"/>
      <c r="B606" s="9"/>
      <c r="C606" s="9"/>
      <c r="D606" s="9"/>
      <c r="E606" s="9"/>
      <c r="F606" s="9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9"/>
      <c r="B607" s="9"/>
      <c r="C607" s="9"/>
      <c r="D607" s="9"/>
      <c r="E607" s="9"/>
      <c r="F607" s="9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/>
      <c r="B608" s="9"/>
      <c r="C608" s="9"/>
      <c r="D608" s="9"/>
      <c r="E608" s="9"/>
      <c r="F608" s="9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9"/>
      <c r="B609" s="9"/>
      <c r="C609" s="9"/>
      <c r="D609" s="9"/>
      <c r="E609" s="9"/>
      <c r="F609" s="9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/>
      <c r="B610" s="9"/>
      <c r="C610" s="9"/>
      <c r="D610" s="9"/>
      <c r="E610" s="9"/>
      <c r="F610" s="9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9"/>
      <c r="B611" s="9"/>
      <c r="C611" s="9"/>
      <c r="D611" s="9"/>
      <c r="E611" s="9"/>
      <c r="F611" s="9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/>
      <c r="B612" s="9"/>
      <c r="C612" s="9"/>
      <c r="D612" s="9"/>
      <c r="E612" s="9"/>
      <c r="F612" s="9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9"/>
      <c r="B613" s="9"/>
      <c r="C613" s="9"/>
      <c r="D613" s="9"/>
      <c r="E613" s="9"/>
      <c r="F613" s="9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/>
      <c r="B614" s="9"/>
      <c r="C614" s="9"/>
      <c r="D614" s="9"/>
      <c r="E614" s="9"/>
      <c r="F614" s="9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9"/>
      <c r="B615" s="9"/>
      <c r="C615" s="9"/>
      <c r="D615" s="9"/>
      <c r="E615" s="9"/>
      <c r="F615" s="9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/>
      <c r="B616" s="9"/>
      <c r="C616" s="9"/>
      <c r="D616" s="9"/>
      <c r="E616" s="9"/>
      <c r="F616" s="9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9"/>
      <c r="B617" s="9"/>
      <c r="C617" s="9"/>
      <c r="D617" s="9"/>
      <c r="E617" s="9"/>
      <c r="F617" s="9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/>
      <c r="B618" s="9"/>
      <c r="C618" s="9"/>
      <c r="D618" s="9"/>
      <c r="E618" s="9"/>
      <c r="F618" s="9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9"/>
      <c r="B619" s="9"/>
      <c r="C619" s="9"/>
      <c r="D619" s="9"/>
      <c r="E619" s="9"/>
      <c r="F619" s="9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/>
      <c r="B620" s="9"/>
      <c r="C620" s="9"/>
      <c r="D620" s="9"/>
      <c r="E620" s="9"/>
      <c r="F620" s="9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9"/>
      <c r="B621" s="9"/>
      <c r="C621" s="9"/>
      <c r="D621" s="9"/>
      <c r="E621" s="9"/>
      <c r="F621" s="9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/>
      <c r="B622" s="9"/>
      <c r="C622" s="9"/>
      <c r="D622" s="9"/>
      <c r="E622" s="9"/>
      <c r="F622" s="9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9"/>
      <c r="B623" s="9"/>
      <c r="C623" s="9"/>
      <c r="D623" s="9"/>
      <c r="E623" s="9"/>
      <c r="F623" s="9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/>
      <c r="B624" s="9"/>
      <c r="C624" s="9"/>
      <c r="D624" s="9"/>
      <c r="E624" s="9"/>
      <c r="F624" s="9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9"/>
      <c r="B625" s="9"/>
      <c r="C625" s="9"/>
      <c r="D625" s="9"/>
      <c r="E625" s="9"/>
      <c r="F625" s="9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/>
      <c r="B626" s="9"/>
      <c r="C626" s="9"/>
      <c r="D626" s="9"/>
      <c r="E626" s="9"/>
      <c r="F626" s="9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9"/>
      <c r="B627" s="9"/>
      <c r="C627" s="9"/>
      <c r="D627" s="9"/>
      <c r="E627" s="9"/>
      <c r="F627" s="9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/>
      <c r="B628" s="9"/>
      <c r="C628" s="9"/>
      <c r="D628" s="9"/>
      <c r="E628" s="9"/>
      <c r="F628" s="9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9"/>
      <c r="B629" s="9"/>
      <c r="C629" s="9"/>
      <c r="D629" s="9"/>
      <c r="E629" s="9"/>
      <c r="F629" s="9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/>
      <c r="B630" s="9"/>
      <c r="C630" s="9"/>
      <c r="D630" s="9"/>
      <c r="E630" s="9"/>
      <c r="F630" s="9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9"/>
      <c r="B631" s="9"/>
      <c r="C631" s="9"/>
      <c r="D631" s="9"/>
      <c r="E631" s="9"/>
      <c r="F631" s="9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/>
      <c r="B632" s="9"/>
      <c r="C632" s="9"/>
      <c r="D632" s="9"/>
      <c r="E632" s="9"/>
      <c r="F632" s="9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9"/>
      <c r="B633" s="9"/>
      <c r="C633" s="9"/>
      <c r="D633" s="9"/>
      <c r="E633" s="9"/>
      <c r="F633" s="9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/>
      <c r="B634" s="9"/>
      <c r="C634" s="9"/>
      <c r="D634" s="9"/>
      <c r="E634" s="9"/>
      <c r="F634" s="9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9"/>
      <c r="B635" s="9"/>
      <c r="C635" s="9"/>
      <c r="D635" s="9"/>
      <c r="E635" s="9"/>
      <c r="F635" s="9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/>
      <c r="B636" s="9"/>
      <c r="C636" s="9"/>
      <c r="D636" s="9"/>
      <c r="E636" s="9"/>
      <c r="F636" s="9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9"/>
      <c r="B637" s="9"/>
      <c r="C637" s="9"/>
      <c r="D637" s="9"/>
      <c r="E637" s="9"/>
      <c r="F637" s="9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9"/>
      <c r="B638" s="9"/>
      <c r="C638" s="9"/>
      <c r="D638" s="9"/>
      <c r="E638" s="9"/>
      <c r="F638" s="9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9"/>
      <c r="B639" s="9"/>
      <c r="C639" s="9"/>
      <c r="D639" s="9"/>
      <c r="E639" s="9"/>
      <c r="F639" s="9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9"/>
      <c r="B640" s="9"/>
      <c r="C640" s="9"/>
      <c r="D640" s="9"/>
      <c r="E640" s="9"/>
      <c r="F640" s="9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9"/>
      <c r="B641" s="9"/>
      <c r="C641" s="9"/>
      <c r="D641" s="9"/>
      <c r="E641" s="9"/>
      <c r="F641" s="9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/>
      <c r="B642" s="9"/>
      <c r="C642" s="9"/>
      <c r="D642" s="9"/>
      <c r="E642" s="9"/>
      <c r="F642" s="9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9"/>
      <c r="B643" s="9"/>
      <c r="C643" s="9"/>
      <c r="D643" s="9"/>
      <c r="E643" s="9"/>
      <c r="F643" s="9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/>
      <c r="B644" s="9"/>
      <c r="C644" s="9"/>
      <c r="D644" s="9"/>
      <c r="E644" s="9"/>
      <c r="F644" s="9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9"/>
      <c r="B645" s="9"/>
      <c r="C645" s="9"/>
      <c r="D645" s="9"/>
      <c r="E645" s="9"/>
      <c r="F645" s="9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/>
      <c r="B646" s="9"/>
      <c r="C646" s="9"/>
      <c r="D646" s="9"/>
      <c r="E646" s="9"/>
      <c r="F646" s="9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9"/>
      <c r="B647" s="9"/>
      <c r="C647" s="9"/>
      <c r="D647" s="9"/>
      <c r="E647" s="9"/>
      <c r="F647" s="9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/>
      <c r="B648" s="9"/>
      <c r="C648" s="9"/>
      <c r="D648" s="9"/>
      <c r="E648" s="9"/>
      <c r="F648" s="9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9"/>
      <c r="B649" s="9"/>
      <c r="C649" s="9"/>
      <c r="D649" s="9"/>
      <c r="E649" s="9"/>
      <c r="F649" s="9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/>
      <c r="B650" s="9"/>
      <c r="C650" s="9"/>
      <c r="D650" s="9"/>
      <c r="E650" s="9"/>
      <c r="F650" s="9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9"/>
      <c r="B651" s="9"/>
      <c r="C651" s="9"/>
      <c r="D651" s="9"/>
      <c r="E651" s="9"/>
      <c r="F651" s="9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/>
      <c r="B652" s="9"/>
      <c r="C652" s="9"/>
      <c r="D652" s="9"/>
      <c r="E652" s="9"/>
      <c r="F652" s="9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9"/>
      <c r="B653" s="9"/>
      <c r="C653" s="9"/>
      <c r="D653" s="9"/>
      <c r="E653" s="9"/>
      <c r="F653" s="9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/>
      <c r="B654" s="9"/>
      <c r="C654" s="9"/>
      <c r="D654" s="9"/>
      <c r="E654" s="9"/>
      <c r="F654" s="9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9"/>
      <c r="B655" s="9"/>
      <c r="C655" s="9"/>
      <c r="D655" s="9"/>
      <c r="E655" s="9"/>
      <c r="F655" s="9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9"/>
      <c r="B656" s="9"/>
      <c r="C656" s="9"/>
      <c r="D656" s="9"/>
      <c r="E656" s="9"/>
      <c r="F656" s="9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9"/>
      <c r="B657" s="9"/>
      <c r="C657" s="9"/>
      <c r="D657" s="9"/>
      <c r="E657" s="9"/>
      <c r="F657" s="9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/>
      <c r="B658" s="9"/>
      <c r="C658" s="9"/>
      <c r="D658" s="9"/>
      <c r="E658" s="9"/>
      <c r="F658" s="9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9"/>
      <c r="B659" s="9"/>
      <c r="C659" s="9"/>
      <c r="D659" s="9"/>
      <c r="E659" s="9"/>
      <c r="F659" s="9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/>
      <c r="B660" s="9"/>
      <c r="C660" s="9"/>
      <c r="D660" s="9"/>
      <c r="E660" s="9"/>
      <c r="F660" s="9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9"/>
      <c r="B661" s="9"/>
      <c r="C661" s="9"/>
      <c r="D661" s="9"/>
      <c r="E661" s="9"/>
      <c r="F661" s="9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/>
      <c r="B662" s="9"/>
      <c r="C662" s="9"/>
      <c r="D662" s="9"/>
      <c r="E662" s="9"/>
      <c r="F662" s="9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9"/>
      <c r="B663" s="9"/>
      <c r="C663" s="9"/>
      <c r="D663" s="9"/>
      <c r="E663" s="9"/>
      <c r="F663" s="9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/>
      <c r="B664" s="9"/>
      <c r="C664" s="9"/>
      <c r="D664" s="9"/>
      <c r="E664" s="9"/>
      <c r="F664" s="9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9"/>
      <c r="B665" s="9"/>
      <c r="C665" s="9"/>
      <c r="D665" s="9"/>
      <c r="E665" s="9"/>
      <c r="F665" s="9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/>
      <c r="B666" s="9"/>
      <c r="C666" s="9"/>
      <c r="D666" s="9"/>
      <c r="E666" s="9"/>
      <c r="F666" s="9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9"/>
      <c r="B667" s="9"/>
      <c r="C667" s="9"/>
      <c r="D667" s="9"/>
      <c r="E667" s="9"/>
      <c r="F667" s="9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/>
      <c r="B668" s="9"/>
      <c r="C668" s="9"/>
      <c r="D668" s="9"/>
      <c r="E668" s="9"/>
      <c r="F668" s="9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9"/>
      <c r="B669" s="9"/>
      <c r="C669" s="9"/>
      <c r="D669" s="9"/>
      <c r="E669" s="9"/>
      <c r="F669" s="9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/>
      <c r="B670" s="9"/>
      <c r="C670" s="9"/>
      <c r="D670" s="9"/>
      <c r="E670" s="9"/>
      <c r="F670" s="9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9"/>
      <c r="B671" s="9"/>
      <c r="C671" s="9"/>
      <c r="D671" s="9"/>
      <c r="E671" s="9"/>
      <c r="F671" s="9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/>
      <c r="B672" s="9"/>
      <c r="C672" s="9"/>
      <c r="D672" s="9"/>
      <c r="E672" s="9"/>
      <c r="F672" s="9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9"/>
      <c r="B673" s="9"/>
      <c r="C673" s="9"/>
      <c r="D673" s="9"/>
      <c r="E673" s="9"/>
      <c r="F673" s="9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/>
      <c r="B674" s="9"/>
      <c r="C674" s="9"/>
      <c r="D674" s="9"/>
      <c r="E674" s="9"/>
      <c r="F674" s="9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9"/>
      <c r="B675" s="9"/>
      <c r="C675" s="9"/>
      <c r="D675" s="9"/>
      <c r="E675" s="9"/>
      <c r="F675" s="9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/>
      <c r="B676" s="9"/>
      <c r="C676" s="9"/>
      <c r="D676" s="9"/>
      <c r="E676" s="9"/>
      <c r="F676" s="9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9"/>
      <c r="B677" s="9"/>
      <c r="C677" s="9"/>
      <c r="D677" s="9"/>
      <c r="E677" s="9"/>
      <c r="F677" s="9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/>
      <c r="B678" s="9"/>
      <c r="C678" s="9"/>
      <c r="D678" s="9"/>
      <c r="E678" s="9"/>
      <c r="F678" s="9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9"/>
      <c r="B679" s="9"/>
      <c r="C679" s="9"/>
      <c r="D679" s="9"/>
      <c r="E679" s="9"/>
      <c r="F679" s="9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/>
      <c r="B680" s="9"/>
      <c r="C680" s="9"/>
      <c r="D680" s="9"/>
      <c r="E680" s="9"/>
      <c r="F680" s="9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9"/>
      <c r="B681" s="9"/>
      <c r="C681" s="9"/>
      <c r="D681" s="9"/>
      <c r="E681" s="9"/>
      <c r="F681" s="9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/>
      <c r="B682" s="9"/>
      <c r="C682" s="9"/>
      <c r="D682" s="9"/>
      <c r="E682" s="9"/>
      <c r="F682" s="9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9"/>
      <c r="B683" s="9"/>
      <c r="C683" s="9"/>
      <c r="D683" s="9"/>
      <c r="E683" s="9"/>
      <c r="F683" s="9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/>
      <c r="B684" s="9"/>
      <c r="C684" s="9"/>
      <c r="D684" s="9"/>
      <c r="E684" s="9"/>
      <c r="F684" s="9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9"/>
      <c r="B685" s="9"/>
      <c r="C685" s="9"/>
      <c r="D685" s="9"/>
      <c r="E685" s="9"/>
      <c r="F685" s="9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/>
      <c r="B686" s="9"/>
      <c r="C686" s="9"/>
      <c r="D686" s="9"/>
      <c r="E686" s="9"/>
      <c r="F686" s="9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9"/>
      <c r="B687" s="9"/>
      <c r="C687" s="9"/>
      <c r="D687" s="9"/>
      <c r="E687" s="9"/>
      <c r="F687" s="9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/>
      <c r="B688" s="9"/>
      <c r="C688" s="9"/>
      <c r="D688" s="9"/>
      <c r="E688" s="9"/>
      <c r="F688" s="9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9"/>
      <c r="B689" s="9"/>
      <c r="C689" s="9"/>
      <c r="D689" s="9"/>
      <c r="E689" s="9"/>
      <c r="F689" s="9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/>
      <c r="B690" s="9"/>
      <c r="C690" s="9"/>
      <c r="D690" s="9"/>
      <c r="E690" s="9"/>
      <c r="F690" s="9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9"/>
      <c r="B691" s="9"/>
      <c r="C691" s="9"/>
      <c r="D691" s="9"/>
      <c r="E691" s="9"/>
      <c r="F691" s="9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/>
      <c r="B692" s="9"/>
      <c r="C692" s="9"/>
      <c r="D692" s="9"/>
      <c r="E692" s="9"/>
      <c r="F692" s="9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9"/>
      <c r="B693" s="9"/>
      <c r="C693" s="9"/>
      <c r="D693" s="9"/>
      <c r="E693" s="9"/>
      <c r="F693" s="9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/>
      <c r="B694" s="9"/>
      <c r="C694" s="9"/>
      <c r="D694" s="9"/>
      <c r="E694" s="9"/>
      <c r="F694" s="9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9"/>
      <c r="B695" s="9"/>
      <c r="C695" s="9"/>
      <c r="D695" s="9"/>
      <c r="E695" s="9"/>
      <c r="F695" s="9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/>
      <c r="B696" s="9"/>
      <c r="C696" s="9"/>
      <c r="D696" s="9"/>
      <c r="E696" s="9"/>
      <c r="F696" s="9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9"/>
      <c r="B697" s="9"/>
      <c r="C697" s="9"/>
      <c r="D697" s="9"/>
      <c r="E697" s="9"/>
      <c r="F697" s="9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/>
      <c r="B698" s="9"/>
      <c r="C698" s="9"/>
      <c r="D698" s="9"/>
      <c r="E698" s="9"/>
      <c r="F698" s="9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9"/>
      <c r="B699" s="9"/>
      <c r="C699" s="9"/>
      <c r="D699" s="9"/>
      <c r="E699" s="9"/>
      <c r="F699" s="9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/>
      <c r="B700" s="9"/>
      <c r="C700" s="9"/>
      <c r="D700" s="9"/>
      <c r="E700" s="9"/>
      <c r="F700" s="9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9"/>
      <c r="B701" s="9"/>
      <c r="C701" s="9"/>
      <c r="D701" s="9"/>
      <c r="E701" s="9"/>
      <c r="F701" s="9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/>
      <c r="B702" s="9"/>
      <c r="C702" s="9"/>
      <c r="D702" s="9"/>
      <c r="E702" s="9"/>
      <c r="F702" s="9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9"/>
      <c r="B703" s="9"/>
      <c r="C703" s="9"/>
      <c r="D703" s="9"/>
      <c r="E703" s="9"/>
      <c r="F703" s="9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/>
      <c r="B704" s="9"/>
      <c r="C704" s="9"/>
      <c r="D704" s="9"/>
      <c r="E704" s="9"/>
      <c r="F704" s="9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9"/>
      <c r="B705" s="9"/>
      <c r="C705" s="9"/>
      <c r="D705" s="9"/>
      <c r="E705" s="9"/>
      <c r="F705" s="9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/>
      <c r="B706" s="9"/>
      <c r="C706" s="9"/>
      <c r="D706" s="9"/>
      <c r="E706" s="9"/>
      <c r="F706" s="9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9"/>
      <c r="B707" s="9"/>
      <c r="C707" s="9"/>
      <c r="D707" s="9"/>
      <c r="E707" s="9"/>
      <c r="F707" s="9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/>
      <c r="B708" s="9"/>
      <c r="C708" s="9"/>
      <c r="D708" s="9"/>
      <c r="E708" s="9"/>
      <c r="F708" s="9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9"/>
      <c r="B709" s="9"/>
      <c r="C709" s="9"/>
      <c r="D709" s="9"/>
      <c r="E709" s="9"/>
      <c r="F709" s="9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/>
      <c r="B710" s="9"/>
      <c r="C710" s="9"/>
      <c r="D710" s="9"/>
      <c r="E710" s="9"/>
      <c r="F710" s="9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9"/>
      <c r="B711" s="9"/>
      <c r="C711" s="9"/>
      <c r="D711" s="9"/>
      <c r="E711" s="9"/>
      <c r="F711" s="9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/>
      <c r="B712" s="9"/>
      <c r="C712" s="9"/>
      <c r="D712" s="9"/>
      <c r="E712" s="9"/>
      <c r="F712" s="9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9"/>
      <c r="B713" s="9"/>
      <c r="C713" s="9"/>
      <c r="D713" s="9"/>
      <c r="E713" s="9"/>
      <c r="F713" s="9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/>
      <c r="B714" s="9"/>
      <c r="C714" s="9"/>
      <c r="D714" s="9"/>
      <c r="E714" s="9"/>
      <c r="F714" s="9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9"/>
      <c r="B715" s="9"/>
      <c r="C715" s="9"/>
      <c r="D715" s="9"/>
      <c r="E715" s="9"/>
      <c r="F715" s="9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/>
      <c r="B716" s="9"/>
      <c r="C716" s="9"/>
      <c r="D716" s="9"/>
      <c r="E716" s="9"/>
      <c r="F716" s="9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9"/>
      <c r="B717" s="9"/>
      <c r="C717" s="9"/>
      <c r="D717" s="9"/>
      <c r="E717" s="9"/>
      <c r="F717" s="9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/>
      <c r="B718" s="9"/>
      <c r="C718" s="9"/>
      <c r="D718" s="9"/>
      <c r="E718" s="9"/>
      <c r="F718" s="9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9"/>
      <c r="B719" s="9"/>
      <c r="C719" s="9"/>
      <c r="D719" s="9"/>
      <c r="E719" s="9"/>
      <c r="F719" s="9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/>
      <c r="B720" s="9"/>
      <c r="C720" s="9"/>
      <c r="D720" s="9"/>
      <c r="E720" s="9"/>
      <c r="F720" s="9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9"/>
      <c r="B721" s="9"/>
      <c r="C721" s="9"/>
      <c r="D721" s="9"/>
      <c r="E721" s="9"/>
      <c r="F721" s="9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/>
      <c r="B722" s="9"/>
      <c r="C722" s="9"/>
      <c r="D722" s="9"/>
      <c r="E722" s="9"/>
      <c r="F722" s="9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9"/>
      <c r="B723" s="9"/>
      <c r="C723" s="9"/>
      <c r="D723" s="9"/>
      <c r="E723" s="9"/>
      <c r="F723" s="9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/>
      <c r="B724" s="9"/>
      <c r="C724" s="9"/>
      <c r="D724" s="9"/>
      <c r="E724" s="9"/>
      <c r="F724" s="9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9"/>
      <c r="B725" s="9"/>
      <c r="C725" s="9"/>
      <c r="D725" s="9"/>
      <c r="E725" s="9"/>
      <c r="F725" s="9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/>
      <c r="B726" s="9"/>
      <c r="C726" s="9"/>
      <c r="D726" s="9"/>
      <c r="E726" s="9"/>
      <c r="F726" s="9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9"/>
      <c r="B727" s="9"/>
      <c r="C727" s="9"/>
      <c r="D727" s="9"/>
      <c r="E727" s="9"/>
      <c r="F727" s="9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/>
      <c r="B728" s="9"/>
      <c r="C728" s="9"/>
      <c r="D728" s="9"/>
      <c r="E728" s="9"/>
      <c r="F728" s="9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9"/>
      <c r="B729" s="9"/>
      <c r="C729" s="9"/>
      <c r="D729" s="9"/>
      <c r="E729" s="9"/>
      <c r="F729" s="9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/>
      <c r="B730" s="9"/>
      <c r="C730" s="9"/>
      <c r="D730" s="9"/>
      <c r="E730" s="9"/>
      <c r="F730" s="9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9"/>
      <c r="B731" s="9"/>
      <c r="C731" s="9"/>
      <c r="D731" s="9"/>
      <c r="E731" s="9"/>
      <c r="F731" s="9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/>
      <c r="B732" s="9"/>
      <c r="C732" s="9"/>
      <c r="D732" s="9"/>
      <c r="E732" s="9"/>
      <c r="F732" s="9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9"/>
      <c r="B733" s="9"/>
      <c r="C733" s="9"/>
      <c r="D733" s="9"/>
      <c r="E733" s="9"/>
      <c r="F733" s="9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/>
      <c r="B734" s="9"/>
      <c r="C734" s="9"/>
      <c r="D734" s="9"/>
      <c r="E734" s="9"/>
      <c r="F734" s="9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9"/>
      <c r="B735" s="9"/>
      <c r="C735" s="9"/>
      <c r="D735" s="9"/>
      <c r="E735" s="9"/>
      <c r="F735" s="9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/>
      <c r="B736" s="9"/>
      <c r="C736" s="9"/>
      <c r="D736" s="9"/>
      <c r="E736" s="9"/>
      <c r="F736" s="9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9"/>
      <c r="B737" s="9"/>
      <c r="C737" s="9"/>
      <c r="D737" s="9"/>
      <c r="E737" s="9"/>
      <c r="F737" s="9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/>
      <c r="B738" s="9"/>
      <c r="C738" s="9"/>
      <c r="D738" s="9"/>
      <c r="E738" s="9"/>
      <c r="F738" s="9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9"/>
      <c r="B739" s="9"/>
      <c r="C739" s="9"/>
      <c r="D739" s="9"/>
      <c r="E739" s="9"/>
      <c r="F739" s="9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/>
      <c r="B740" s="9"/>
      <c r="C740" s="9"/>
      <c r="D740" s="9"/>
      <c r="E740" s="9"/>
      <c r="F740" s="9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9"/>
      <c r="B741" s="9"/>
      <c r="C741" s="9"/>
      <c r="D741" s="9"/>
      <c r="E741" s="9"/>
      <c r="F741" s="9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9"/>
      <c r="B742" s="9"/>
      <c r="C742" s="9"/>
      <c r="D742" s="9"/>
      <c r="E742" s="9"/>
      <c r="F742" s="9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9"/>
      <c r="B743" s="9"/>
      <c r="C743" s="9"/>
      <c r="D743" s="9"/>
      <c r="E743" s="9"/>
      <c r="F743" s="9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9"/>
      <c r="B744" s="9"/>
      <c r="C744" s="9"/>
      <c r="D744" s="9"/>
      <c r="E744" s="9"/>
      <c r="F744" s="9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9"/>
      <c r="B745" s="9"/>
      <c r="C745" s="9"/>
      <c r="D745" s="9"/>
      <c r="E745" s="9"/>
      <c r="F745" s="9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/>
      <c r="B746" s="9"/>
      <c r="C746" s="9"/>
      <c r="D746" s="9"/>
      <c r="E746" s="9"/>
      <c r="F746" s="9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9"/>
      <c r="B747" s="9"/>
      <c r="C747" s="9"/>
      <c r="D747" s="9"/>
      <c r="E747" s="9"/>
      <c r="F747" s="9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/>
      <c r="B748" s="9"/>
      <c r="C748" s="9"/>
      <c r="D748" s="9"/>
      <c r="E748" s="9"/>
      <c r="F748" s="9"/>
      <c r="G748" s="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9"/>
      <c r="B749" s="9"/>
      <c r="C749" s="9"/>
      <c r="D749" s="9"/>
      <c r="E749" s="9"/>
      <c r="F749" s="9"/>
      <c r="G749" s="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9"/>
      <c r="B750" s="9"/>
      <c r="C750" s="9"/>
      <c r="D750" s="9"/>
      <c r="E750" s="9"/>
      <c r="F750" s="9"/>
      <c r="G750" s="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9"/>
      <c r="B751" s="9"/>
      <c r="C751" s="9"/>
      <c r="D751" s="9"/>
      <c r="E751" s="9"/>
      <c r="F751" s="9"/>
      <c r="G751" s="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/>
      <c r="B752" s="9"/>
      <c r="C752" s="9"/>
      <c r="D752" s="9"/>
      <c r="E752" s="9"/>
      <c r="F752" s="9"/>
      <c r="G752" s="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9"/>
      <c r="B753" s="9"/>
      <c r="C753" s="9"/>
      <c r="D753" s="9"/>
      <c r="E753" s="9"/>
      <c r="F753" s="9"/>
      <c r="G753" s="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/>
      <c r="B754" s="9"/>
      <c r="C754" s="9"/>
      <c r="D754" s="9"/>
      <c r="E754" s="9"/>
      <c r="F754" s="9"/>
      <c r="G754" s="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9"/>
      <c r="B755" s="9"/>
      <c r="C755" s="9"/>
      <c r="D755" s="9"/>
      <c r="E755" s="9"/>
      <c r="F755" s="9"/>
      <c r="G755" s="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9"/>
      <c r="B756" s="9"/>
      <c r="C756" s="9"/>
      <c r="D756" s="9"/>
      <c r="E756" s="9"/>
      <c r="F756" s="9"/>
      <c r="G756" s="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9"/>
      <c r="B757" s="9"/>
      <c r="C757" s="9"/>
      <c r="D757" s="9"/>
      <c r="E757" s="9"/>
      <c r="F757" s="9"/>
      <c r="G757" s="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/>
      <c r="B758" s="9"/>
      <c r="C758" s="9"/>
      <c r="D758" s="9"/>
      <c r="E758" s="9"/>
      <c r="F758" s="9"/>
      <c r="G758" s="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9"/>
      <c r="B759" s="9"/>
      <c r="C759" s="9"/>
      <c r="D759" s="9"/>
      <c r="E759" s="9"/>
      <c r="F759" s="9"/>
      <c r="G759" s="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/>
      <c r="B760" s="9"/>
      <c r="C760" s="9"/>
      <c r="D760" s="9"/>
      <c r="E760" s="9"/>
      <c r="F760" s="9"/>
      <c r="G760" s="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9"/>
      <c r="B761" s="9"/>
      <c r="C761" s="9"/>
      <c r="D761" s="9"/>
      <c r="E761" s="9"/>
      <c r="F761" s="9"/>
      <c r="G761" s="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/>
      <c r="B762" s="9"/>
      <c r="C762" s="9"/>
      <c r="D762" s="9"/>
      <c r="E762" s="9"/>
      <c r="F762" s="9"/>
      <c r="G762" s="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9"/>
      <c r="B763" s="9"/>
      <c r="C763" s="9"/>
      <c r="D763" s="9"/>
      <c r="E763" s="9"/>
      <c r="F763" s="9"/>
      <c r="G763" s="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/>
      <c r="B764" s="9"/>
      <c r="C764" s="9"/>
      <c r="D764" s="9"/>
      <c r="E764" s="9"/>
      <c r="F764" s="9"/>
      <c r="G764" s="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9"/>
      <c r="B765" s="9"/>
      <c r="C765" s="9"/>
      <c r="D765" s="9"/>
      <c r="E765" s="9"/>
      <c r="F765" s="9"/>
      <c r="G765" s="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9"/>
      <c r="B766" s="9"/>
      <c r="C766" s="9"/>
      <c r="D766" s="9"/>
      <c r="E766" s="9"/>
      <c r="F766" s="9"/>
      <c r="G766" s="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9"/>
      <c r="B767" s="9"/>
      <c r="C767" s="9"/>
      <c r="D767" s="9"/>
      <c r="E767" s="9"/>
      <c r="F767" s="9"/>
      <c r="G767" s="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9"/>
      <c r="B768" s="9"/>
      <c r="C768" s="9"/>
      <c r="D768" s="9"/>
      <c r="E768" s="9"/>
      <c r="F768" s="9"/>
      <c r="G768" s="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9"/>
      <c r="B769" s="9"/>
      <c r="C769" s="9"/>
      <c r="D769" s="9"/>
      <c r="E769" s="9"/>
      <c r="F769" s="9"/>
      <c r="G769" s="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9"/>
      <c r="B770" s="9"/>
      <c r="C770" s="9"/>
      <c r="D770" s="9"/>
      <c r="E770" s="9"/>
      <c r="F770" s="9"/>
      <c r="G770" s="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9"/>
      <c r="B771" s="9"/>
      <c r="C771" s="9"/>
      <c r="D771" s="9"/>
      <c r="E771" s="9"/>
      <c r="F771" s="9"/>
      <c r="G771" s="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/>
      <c r="B772" s="9"/>
      <c r="C772" s="9"/>
      <c r="D772" s="9"/>
      <c r="E772" s="9"/>
      <c r="F772" s="9"/>
      <c r="G772" s="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9"/>
      <c r="B773" s="9"/>
      <c r="C773" s="9"/>
      <c r="D773" s="9"/>
      <c r="E773" s="9"/>
      <c r="F773" s="9"/>
      <c r="G773" s="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/>
      <c r="B774" s="9"/>
      <c r="C774" s="9"/>
      <c r="D774" s="9"/>
      <c r="E774" s="9"/>
      <c r="F774" s="9"/>
      <c r="G774" s="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9"/>
      <c r="B775" s="9"/>
      <c r="C775" s="9"/>
      <c r="D775" s="9"/>
      <c r="E775" s="9"/>
      <c r="F775" s="9"/>
      <c r="G775" s="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/>
      <c r="B776" s="9"/>
      <c r="C776" s="9"/>
      <c r="D776" s="9"/>
      <c r="E776" s="9"/>
      <c r="F776" s="9"/>
      <c r="G776" s="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9"/>
      <c r="B777" s="9"/>
      <c r="C777" s="9"/>
      <c r="D777" s="9"/>
      <c r="E777" s="9"/>
      <c r="F777" s="9"/>
      <c r="G777" s="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/>
      <c r="B778" s="9"/>
      <c r="C778" s="9"/>
      <c r="D778" s="9"/>
      <c r="E778" s="9"/>
      <c r="F778" s="9"/>
      <c r="G778" s="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9"/>
      <c r="B779" s="9"/>
      <c r="C779" s="9"/>
      <c r="D779" s="9"/>
      <c r="E779" s="9"/>
      <c r="F779" s="9"/>
      <c r="G779" s="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/>
      <c r="B780" s="9"/>
      <c r="C780" s="9"/>
      <c r="D780" s="9"/>
      <c r="E780" s="9"/>
      <c r="F780" s="9"/>
      <c r="G780" s="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9"/>
      <c r="B781" s="9"/>
      <c r="C781" s="9"/>
      <c r="D781" s="9"/>
      <c r="E781" s="9"/>
      <c r="F781" s="9"/>
      <c r="G781" s="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/>
      <c r="B782" s="9"/>
      <c r="C782" s="9"/>
      <c r="D782" s="9"/>
      <c r="E782" s="9"/>
      <c r="F782" s="9"/>
      <c r="G782" s="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9"/>
      <c r="B783" s="9"/>
      <c r="C783" s="9"/>
      <c r="D783" s="9"/>
      <c r="E783" s="9"/>
      <c r="F783" s="9"/>
      <c r="G783" s="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9"/>
      <c r="B784" s="9"/>
      <c r="C784" s="9"/>
      <c r="D784" s="9"/>
      <c r="E784" s="9"/>
      <c r="F784" s="9"/>
      <c r="G784" s="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9"/>
      <c r="B785" s="9"/>
      <c r="C785" s="9"/>
      <c r="D785" s="9"/>
      <c r="E785" s="9"/>
      <c r="F785" s="9"/>
      <c r="G785" s="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/>
      <c r="B786" s="9"/>
      <c r="C786" s="9"/>
      <c r="D786" s="9"/>
      <c r="E786" s="9"/>
      <c r="F786" s="9"/>
      <c r="G786" s="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9"/>
      <c r="B787" s="9"/>
      <c r="C787" s="9"/>
      <c r="D787" s="9"/>
      <c r="E787" s="9"/>
      <c r="F787" s="9"/>
      <c r="G787" s="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/>
      <c r="B788" s="9"/>
      <c r="C788" s="9"/>
      <c r="D788" s="9"/>
      <c r="E788" s="9"/>
      <c r="F788" s="9"/>
      <c r="G788" s="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9"/>
      <c r="B789" s="9"/>
      <c r="C789" s="9"/>
      <c r="D789" s="9"/>
      <c r="E789" s="9"/>
      <c r="F789" s="9"/>
      <c r="G789" s="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/>
      <c r="B790" s="9"/>
      <c r="C790" s="9"/>
      <c r="D790" s="9"/>
      <c r="E790" s="9"/>
      <c r="F790" s="9"/>
      <c r="G790" s="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9"/>
      <c r="B791" s="9"/>
      <c r="C791" s="9"/>
      <c r="D791" s="9"/>
      <c r="E791" s="9"/>
      <c r="F791" s="9"/>
      <c r="G791" s="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/>
      <c r="B792" s="9"/>
      <c r="C792" s="9"/>
      <c r="D792" s="9"/>
      <c r="E792" s="9"/>
      <c r="F792" s="9"/>
      <c r="G792" s="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9"/>
      <c r="B793" s="9"/>
      <c r="C793" s="9"/>
      <c r="D793" s="9"/>
      <c r="E793" s="9"/>
      <c r="F793" s="9"/>
      <c r="G793" s="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/>
      <c r="B794" s="9"/>
      <c r="C794" s="9"/>
      <c r="D794" s="9"/>
      <c r="E794" s="9"/>
      <c r="F794" s="9"/>
      <c r="G794" s="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9"/>
      <c r="B795" s="9"/>
      <c r="C795" s="9"/>
      <c r="D795" s="9"/>
      <c r="E795" s="9"/>
      <c r="F795" s="9"/>
      <c r="G795" s="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/>
      <c r="B796" s="9"/>
      <c r="C796" s="9"/>
      <c r="D796" s="9"/>
      <c r="E796" s="9"/>
      <c r="F796" s="9"/>
      <c r="G796" s="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9"/>
      <c r="B797" s="9"/>
      <c r="C797" s="9"/>
      <c r="D797" s="9"/>
      <c r="E797" s="9"/>
      <c r="F797" s="9"/>
      <c r="G797" s="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/>
      <c r="B798" s="9"/>
      <c r="C798" s="9"/>
      <c r="D798" s="9"/>
      <c r="E798" s="9"/>
      <c r="F798" s="9"/>
      <c r="G798" s="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9"/>
      <c r="B799" s="9"/>
      <c r="C799" s="9"/>
      <c r="D799" s="9"/>
      <c r="E799" s="9"/>
      <c r="F799" s="9"/>
      <c r="G799" s="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/>
      <c r="B800" s="9"/>
      <c r="C800" s="9"/>
      <c r="D800" s="9"/>
      <c r="E800" s="9"/>
      <c r="F800" s="9"/>
      <c r="G800" s="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9"/>
      <c r="B801" s="9"/>
      <c r="C801" s="9"/>
      <c r="D801" s="9"/>
      <c r="E801" s="9"/>
      <c r="F801" s="9"/>
      <c r="G801" s="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/>
      <c r="B802" s="9"/>
      <c r="C802" s="9"/>
      <c r="D802" s="9"/>
      <c r="E802" s="9"/>
      <c r="F802" s="9"/>
      <c r="G802" s="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9"/>
      <c r="B803" s="9"/>
      <c r="C803" s="9"/>
      <c r="D803" s="9"/>
      <c r="E803" s="9"/>
      <c r="F803" s="9"/>
      <c r="G803" s="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/>
      <c r="B804" s="9"/>
      <c r="C804" s="9"/>
      <c r="D804" s="9"/>
      <c r="E804" s="9"/>
      <c r="F804" s="9"/>
      <c r="G804" s="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9"/>
      <c r="B805" s="9"/>
      <c r="C805" s="9"/>
      <c r="D805" s="9"/>
      <c r="E805" s="9"/>
      <c r="F805" s="9"/>
      <c r="G805" s="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/>
      <c r="B806" s="9"/>
      <c r="C806" s="9"/>
      <c r="D806" s="9"/>
      <c r="E806" s="9"/>
      <c r="F806" s="9"/>
      <c r="G806" s="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9"/>
      <c r="B807" s="9"/>
      <c r="C807" s="9"/>
      <c r="D807" s="9"/>
      <c r="E807" s="9"/>
      <c r="F807" s="9"/>
      <c r="G807" s="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/>
      <c r="B808" s="9"/>
      <c r="C808" s="9"/>
      <c r="D808" s="9"/>
      <c r="E808" s="9"/>
      <c r="F808" s="9"/>
      <c r="G808" s="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9"/>
      <c r="B809" s="9"/>
      <c r="C809" s="9"/>
      <c r="D809" s="9"/>
      <c r="E809" s="9"/>
      <c r="F809" s="9"/>
      <c r="G809" s="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/>
      <c r="B810" s="9"/>
      <c r="C810" s="9"/>
      <c r="D810" s="9"/>
      <c r="E810" s="9"/>
      <c r="F810" s="9"/>
      <c r="G810" s="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9"/>
      <c r="B811" s="9"/>
      <c r="C811" s="9"/>
      <c r="D811" s="9"/>
      <c r="E811" s="9"/>
      <c r="F811" s="9"/>
      <c r="G811" s="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/>
      <c r="B812" s="9"/>
      <c r="C812" s="9"/>
      <c r="D812" s="9"/>
      <c r="E812" s="9"/>
      <c r="F812" s="9"/>
      <c r="G812" s="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9"/>
      <c r="B813" s="9"/>
      <c r="C813" s="9"/>
      <c r="D813" s="9"/>
      <c r="E813" s="9"/>
      <c r="F813" s="9"/>
      <c r="G813" s="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/>
      <c r="B814" s="9"/>
      <c r="C814" s="9"/>
      <c r="D814" s="9"/>
      <c r="E814" s="9"/>
      <c r="F814" s="9"/>
      <c r="G814" s="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9"/>
      <c r="B815" s="9"/>
      <c r="C815" s="9"/>
      <c r="D815" s="9"/>
      <c r="E815" s="9"/>
      <c r="F815" s="9"/>
      <c r="G815" s="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/>
      <c r="B816" s="9"/>
      <c r="C816" s="9"/>
      <c r="D816" s="9"/>
      <c r="E816" s="9"/>
      <c r="F816" s="9"/>
      <c r="G816" s="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9"/>
      <c r="B817" s="9"/>
      <c r="C817" s="9"/>
      <c r="D817" s="9"/>
      <c r="E817" s="9"/>
      <c r="F817" s="9"/>
      <c r="G817" s="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/>
      <c r="B818" s="9"/>
      <c r="C818" s="9"/>
      <c r="D818" s="9"/>
      <c r="E818" s="9"/>
      <c r="F818" s="9"/>
      <c r="G818" s="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9"/>
      <c r="B819" s="9"/>
      <c r="C819" s="9"/>
      <c r="D819" s="9"/>
      <c r="E819" s="9"/>
      <c r="F819" s="9"/>
      <c r="G819" s="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/>
      <c r="B820" s="9"/>
      <c r="C820" s="9"/>
      <c r="D820" s="9"/>
      <c r="E820" s="9"/>
      <c r="F820" s="9"/>
      <c r="G820" s="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9"/>
      <c r="B821" s="9"/>
      <c r="C821" s="9"/>
      <c r="D821" s="9"/>
      <c r="E821" s="9"/>
      <c r="F821" s="9"/>
      <c r="G821" s="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/>
      <c r="B822" s="9"/>
      <c r="C822" s="9"/>
      <c r="D822" s="9"/>
      <c r="E822" s="9"/>
      <c r="F822" s="9"/>
      <c r="G822" s="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9"/>
      <c r="B823" s="9"/>
      <c r="C823" s="9"/>
      <c r="D823" s="9"/>
      <c r="E823" s="9"/>
      <c r="F823" s="9"/>
      <c r="G823" s="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/>
      <c r="B824" s="9"/>
      <c r="C824" s="9"/>
      <c r="D824" s="9"/>
      <c r="E824" s="9"/>
      <c r="F824" s="9"/>
      <c r="G824" s="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9"/>
      <c r="B825" s="9"/>
      <c r="C825" s="9"/>
      <c r="D825" s="9"/>
      <c r="E825" s="9"/>
      <c r="F825" s="9"/>
      <c r="G825" s="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/>
      <c r="B826" s="9"/>
      <c r="C826" s="9"/>
      <c r="D826" s="9"/>
      <c r="E826" s="9"/>
      <c r="F826" s="9"/>
      <c r="G826" s="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9"/>
      <c r="B827" s="9"/>
      <c r="C827" s="9"/>
      <c r="D827" s="9"/>
      <c r="E827" s="9"/>
      <c r="F827" s="9"/>
      <c r="G827" s="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/>
      <c r="B828" s="9"/>
      <c r="C828" s="9"/>
      <c r="D828" s="9"/>
      <c r="E828" s="9"/>
      <c r="F828" s="9"/>
      <c r="G828" s="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9"/>
      <c r="B829" s="9"/>
      <c r="C829" s="9"/>
      <c r="D829" s="9"/>
      <c r="E829" s="9"/>
      <c r="F829" s="9"/>
      <c r="G829" s="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/>
      <c r="B830" s="9"/>
      <c r="C830" s="9"/>
      <c r="D830" s="9"/>
      <c r="E830" s="9"/>
      <c r="F830" s="9"/>
      <c r="G830" s="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9"/>
      <c r="B831" s="9"/>
      <c r="C831" s="9"/>
      <c r="D831" s="9"/>
      <c r="E831" s="9"/>
      <c r="F831" s="9"/>
      <c r="G831" s="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/>
      <c r="B832" s="9"/>
      <c r="C832" s="9"/>
      <c r="D832" s="9"/>
      <c r="E832" s="9"/>
      <c r="F832" s="9"/>
      <c r="G832" s="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9"/>
      <c r="B833" s="9"/>
      <c r="C833" s="9"/>
      <c r="D833" s="9"/>
      <c r="E833" s="9"/>
      <c r="F833" s="9"/>
      <c r="G833" s="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/>
      <c r="B834" s="9"/>
      <c r="C834" s="9"/>
      <c r="D834" s="9"/>
      <c r="E834" s="9"/>
      <c r="F834" s="9"/>
      <c r="G834" s="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9"/>
      <c r="B835" s="9"/>
      <c r="C835" s="9"/>
      <c r="D835" s="9"/>
      <c r="E835" s="9"/>
      <c r="F835" s="9"/>
      <c r="G835" s="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/>
      <c r="B836" s="9"/>
      <c r="C836" s="9"/>
      <c r="D836" s="9"/>
      <c r="E836" s="9"/>
      <c r="F836" s="9"/>
      <c r="G836" s="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9"/>
      <c r="B837" s="9"/>
      <c r="C837" s="9"/>
      <c r="D837" s="9"/>
      <c r="E837" s="9"/>
      <c r="F837" s="9"/>
      <c r="G837" s="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/>
      <c r="B838" s="9"/>
      <c r="C838" s="9"/>
      <c r="D838" s="9"/>
      <c r="E838" s="9"/>
      <c r="F838" s="9"/>
      <c r="G838" s="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9"/>
      <c r="B839" s="9"/>
      <c r="C839" s="9"/>
      <c r="D839" s="9"/>
      <c r="E839" s="9"/>
      <c r="F839" s="9"/>
      <c r="G839" s="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/>
      <c r="B840" s="9"/>
      <c r="C840" s="9"/>
      <c r="D840" s="9"/>
      <c r="E840" s="9"/>
      <c r="F840" s="9"/>
      <c r="G840" s="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9"/>
      <c r="B841" s="9"/>
      <c r="C841" s="9"/>
      <c r="D841" s="9"/>
      <c r="E841" s="9"/>
      <c r="F841" s="9"/>
      <c r="G841" s="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/>
      <c r="B842" s="9"/>
      <c r="C842" s="9"/>
      <c r="D842" s="9"/>
      <c r="E842" s="9"/>
      <c r="F842" s="9"/>
      <c r="G842" s="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9"/>
      <c r="B843" s="9"/>
      <c r="C843" s="9"/>
      <c r="D843" s="9"/>
      <c r="E843" s="9"/>
      <c r="F843" s="9"/>
      <c r="G843" s="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/>
      <c r="B844" s="9"/>
      <c r="C844" s="9"/>
      <c r="D844" s="9"/>
      <c r="E844" s="9"/>
      <c r="F844" s="9"/>
      <c r="G844" s="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9"/>
      <c r="B845" s="9"/>
      <c r="C845" s="9"/>
      <c r="D845" s="9"/>
      <c r="E845" s="9"/>
      <c r="F845" s="9"/>
      <c r="G845" s="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/>
      <c r="B846" s="9"/>
      <c r="C846" s="9"/>
      <c r="D846" s="9"/>
      <c r="E846" s="9"/>
      <c r="F846" s="9"/>
      <c r="G846" s="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9"/>
      <c r="B847" s="9"/>
      <c r="C847" s="9"/>
      <c r="D847" s="9"/>
      <c r="E847" s="9"/>
      <c r="F847" s="9"/>
      <c r="G847" s="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/>
      <c r="B848" s="9"/>
      <c r="C848" s="9"/>
      <c r="D848" s="9"/>
      <c r="E848" s="9"/>
      <c r="F848" s="9"/>
      <c r="G848" s="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9"/>
      <c r="B849" s="9"/>
      <c r="C849" s="9"/>
      <c r="D849" s="9"/>
      <c r="E849" s="9"/>
      <c r="F849" s="9"/>
      <c r="G849" s="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/>
      <c r="B850" s="9"/>
      <c r="C850" s="9"/>
      <c r="D850" s="9"/>
      <c r="E850" s="9"/>
      <c r="F850" s="9"/>
      <c r="G850" s="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9"/>
      <c r="B851" s="9"/>
      <c r="C851" s="9"/>
      <c r="D851" s="9"/>
      <c r="E851" s="9"/>
      <c r="F851" s="9"/>
      <c r="G851" s="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/>
      <c r="B852" s="9"/>
      <c r="C852" s="9"/>
      <c r="D852" s="9"/>
      <c r="E852" s="9"/>
      <c r="F852" s="9"/>
      <c r="G852" s="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9"/>
      <c r="B853" s="9"/>
      <c r="C853" s="9"/>
      <c r="D853" s="9"/>
      <c r="E853" s="9"/>
      <c r="F853" s="9"/>
      <c r="G853" s="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/>
      <c r="B854" s="9"/>
      <c r="C854" s="9"/>
      <c r="D854" s="9"/>
      <c r="E854" s="9"/>
      <c r="F854" s="9"/>
      <c r="G854" s="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9"/>
      <c r="B855" s="9"/>
      <c r="C855" s="9"/>
      <c r="D855" s="9"/>
      <c r="E855" s="9"/>
      <c r="F855" s="9"/>
      <c r="G855" s="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/>
      <c r="B856" s="9"/>
      <c r="C856" s="9"/>
      <c r="D856" s="9"/>
      <c r="E856" s="9"/>
      <c r="F856" s="9"/>
      <c r="G856" s="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9"/>
      <c r="B857" s="9"/>
      <c r="C857" s="9"/>
      <c r="D857" s="9"/>
      <c r="E857" s="9"/>
      <c r="F857" s="9"/>
      <c r="G857" s="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/>
      <c r="B858" s="9"/>
      <c r="C858" s="9"/>
      <c r="D858" s="9"/>
      <c r="E858" s="9"/>
      <c r="F858" s="9"/>
      <c r="G858" s="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9"/>
      <c r="B859" s="9"/>
      <c r="C859" s="9"/>
      <c r="D859" s="9"/>
      <c r="E859" s="9"/>
      <c r="F859" s="9"/>
      <c r="G859" s="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/>
      <c r="B860" s="9"/>
      <c r="C860" s="9"/>
      <c r="D860" s="9"/>
      <c r="E860" s="9"/>
      <c r="F860" s="9"/>
      <c r="G860" s="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9"/>
      <c r="B861" s="9"/>
      <c r="C861" s="9"/>
      <c r="D861" s="9"/>
      <c r="E861" s="9"/>
      <c r="F861" s="9"/>
      <c r="G861" s="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/>
      <c r="B862" s="9"/>
      <c r="C862" s="9"/>
      <c r="D862" s="9"/>
      <c r="E862" s="9"/>
      <c r="F862" s="9"/>
      <c r="G862" s="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9"/>
      <c r="B863" s="9"/>
      <c r="C863" s="9"/>
      <c r="D863" s="9"/>
      <c r="E863" s="9"/>
      <c r="F863" s="9"/>
      <c r="G863" s="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/>
      <c r="B864" s="9"/>
      <c r="C864" s="9"/>
      <c r="D864" s="9"/>
      <c r="E864" s="9"/>
      <c r="F864" s="9"/>
      <c r="G864" s="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9"/>
      <c r="B865" s="9"/>
      <c r="C865" s="9"/>
      <c r="D865" s="9"/>
      <c r="E865" s="9"/>
      <c r="F865" s="9"/>
      <c r="G865" s="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/>
      <c r="B866" s="9"/>
      <c r="C866" s="9"/>
      <c r="D866" s="9"/>
      <c r="E866" s="9"/>
      <c r="F866" s="9"/>
      <c r="G866" s="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9"/>
      <c r="B867" s="9"/>
      <c r="C867" s="9"/>
      <c r="D867" s="9"/>
      <c r="E867" s="9"/>
      <c r="F867" s="9"/>
      <c r="G867" s="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/>
      <c r="B868" s="9"/>
      <c r="C868" s="9"/>
      <c r="D868" s="9"/>
      <c r="E868" s="9"/>
      <c r="F868" s="9"/>
      <c r="G868" s="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9"/>
      <c r="B869" s="9"/>
      <c r="C869" s="9"/>
      <c r="D869" s="9"/>
      <c r="E869" s="9"/>
      <c r="F869" s="9"/>
      <c r="G869" s="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/>
      <c r="B870" s="9"/>
      <c r="C870" s="9"/>
      <c r="D870" s="9"/>
      <c r="E870" s="9"/>
      <c r="F870" s="9"/>
      <c r="G870" s="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9"/>
      <c r="B871" s="9"/>
      <c r="C871" s="9"/>
      <c r="D871" s="9"/>
      <c r="E871" s="9"/>
      <c r="F871" s="9"/>
      <c r="G871" s="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/>
      <c r="B872" s="9"/>
      <c r="C872" s="9"/>
      <c r="D872" s="9"/>
      <c r="E872" s="9"/>
      <c r="F872" s="9"/>
      <c r="G872" s="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9"/>
      <c r="B873" s="9"/>
      <c r="C873" s="9"/>
      <c r="D873" s="9"/>
      <c r="E873" s="9"/>
      <c r="F873" s="9"/>
      <c r="G873" s="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/>
      <c r="B874" s="9"/>
      <c r="C874" s="9"/>
      <c r="D874" s="9"/>
      <c r="E874" s="9"/>
      <c r="F874" s="9"/>
      <c r="G874" s="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9"/>
      <c r="B875" s="9"/>
      <c r="C875" s="9"/>
      <c r="D875" s="9"/>
      <c r="E875" s="9"/>
      <c r="F875" s="9"/>
      <c r="G875" s="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/>
      <c r="B876" s="9"/>
      <c r="C876" s="9"/>
      <c r="D876" s="9"/>
      <c r="E876" s="9"/>
      <c r="F876" s="9"/>
      <c r="G876" s="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9"/>
      <c r="B877" s="9"/>
      <c r="C877" s="9"/>
      <c r="D877" s="9"/>
      <c r="E877" s="9"/>
      <c r="F877" s="9"/>
      <c r="G877" s="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/>
      <c r="B878" s="9"/>
      <c r="C878" s="9"/>
      <c r="D878" s="9"/>
      <c r="E878" s="9"/>
      <c r="F878" s="9"/>
      <c r="G878" s="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9"/>
      <c r="B879" s="9"/>
      <c r="C879" s="9"/>
      <c r="D879" s="9"/>
      <c r="E879" s="9"/>
      <c r="F879" s="9"/>
      <c r="G879" s="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/>
      <c r="B880" s="9"/>
      <c r="C880" s="9"/>
      <c r="D880" s="9"/>
      <c r="E880" s="9"/>
      <c r="F880" s="9"/>
      <c r="G880" s="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9"/>
      <c r="B881" s="9"/>
      <c r="C881" s="9"/>
      <c r="D881" s="9"/>
      <c r="E881" s="9"/>
      <c r="F881" s="9"/>
      <c r="G881" s="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/>
      <c r="B882" s="9"/>
      <c r="C882" s="9"/>
      <c r="D882" s="9"/>
      <c r="E882" s="9"/>
      <c r="F882" s="9"/>
      <c r="G882" s="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9"/>
      <c r="B883" s="9"/>
      <c r="C883" s="9"/>
      <c r="D883" s="9"/>
      <c r="E883" s="9"/>
      <c r="F883" s="9"/>
      <c r="G883" s="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9"/>
      <c r="B884" s="9"/>
      <c r="C884" s="9"/>
      <c r="D884" s="9"/>
      <c r="E884" s="9"/>
      <c r="F884" s="9"/>
      <c r="G884" s="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9"/>
      <c r="B885" s="9"/>
      <c r="C885" s="9"/>
      <c r="D885" s="9"/>
      <c r="E885" s="9"/>
      <c r="F885" s="9"/>
      <c r="G885" s="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/>
      <c r="B886" s="9"/>
      <c r="C886" s="9"/>
      <c r="D886" s="9"/>
      <c r="E886" s="9"/>
      <c r="F886" s="9"/>
      <c r="G886" s="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9"/>
      <c r="B887" s="9"/>
      <c r="C887" s="9"/>
      <c r="D887" s="9"/>
      <c r="E887" s="9"/>
      <c r="F887" s="9"/>
      <c r="G887" s="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/>
      <c r="B888" s="9"/>
      <c r="C888" s="9"/>
      <c r="D888" s="9"/>
      <c r="E888" s="9"/>
      <c r="F888" s="9"/>
      <c r="G888" s="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9"/>
      <c r="B889" s="9"/>
      <c r="C889" s="9"/>
      <c r="D889" s="9"/>
      <c r="E889" s="9"/>
      <c r="F889" s="9"/>
      <c r="G889" s="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/>
      <c r="B890" s="9"/>
      <c r="C890" s="9"/>
      <c r="D890" s="9"/>
      <c r="E890" s="9"/>
      <c r="F890" s="9"/>
      <c r="G890" s="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9"/>
      <c r="B891" s="9"/>
      <c r="C891" s="9"/>
      <c r="D891" s="9"/>
      <c r="E891" s="9"/>
      <c r="F891" s="9"/>
      <c r="G891" s="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/>
      <c r="B892" s="9"/>
      <c r="C892" s="9"/>
      <c r="D892" s="9"/>
      <c r="E892" s="9"/>
      <c r="F892" s="9"/>
      <c r="G892" s="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9"/>
      <c r="B893" s="9"/>
      <c r="C893" s="9"/>
      <c r="D893" s="9"/>
      <c r="E893" s="9"/>
      <c r="F893" s="9"/>
      <c r="G893" s="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/>
      <c r="B894" s="9"/>
      <c r="C894" s="9"/>
      <c r="D894" s="9"/>
      <c r="E894" s="9"/>
      <c r="F894" s="9"/>
      <c r="G894" s="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9"/>
      <c r="B895" s="9"/>
      <c r="C895" s="9"/>
      <c r="D895" s="9"/>
      <c r="E895" s="9"/>
      <c r="F895" s="9"/>
      <c r="G895" s="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/>
      <c r="B896" s="9"/>
      <c r="C896" s="9"/>
      <c r="D896" s="9"/>
      <c r="E896" s="9"/>
      <c r="F896" s="9"/>
      <c r="G896" s="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9"/>
      <c r="B897" s="9"/>
      <c r="C897" s="9"/>
      <c r="D897" s="9"/>
      <c r="E897" s="9"/>
      <c r="F897" s="9"/>
      <c r="G897" s="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/>
      <c r="B898" s="9"/>
      <c r="C898" s="9"/>
      <c r="D898" s="9"/>
      <c r="E898" s="9"/>
      <c r="F898" s="9"/>
      <c r="G898" s="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9"/>
      <c r="B899" s="9"/>
      <c r="C899" s="9"/>
      <c r="D899" s="9"/>
      <c r="E899" s="9"/>
      <c r="F899" s="9"/>
      <c r="G899" s="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9"/>
      <c r="B900" s="9"/>
      <c r="C900" s="9"/>
      <c r="D900" s="9"/>
      <c r="E900" s="9"/>
      <c r="F900" s="9"/>
      <c r="G900" s="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9"/>
      <c r="B901" s="9"/>
      <c r="C901" s="9"/>
      <c r="D901" s="9"/>
      <c r="E901" s="9"/>
      <c r="F901" s="9"/>
      <c r="G901" s="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9"/>
      <c r="B902" s="9"/>
      <c r="C902" s="9"/>
      <c r="D902" s="9"/>
      <c r="E902" s="9"/>
      <c r="F902" s="9"/>
      <c r="G902" s="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9"/>
      <c r="B903" s="9"/>
      <c r="C903" s="9"/>
      <c r="D903" s="9"/>
      <c r="E903" s="9"/>
      <c r="F903" s="9"/>
      <c r="G903" s="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9"/>
      <c r="B904" s="9"/>
      <c r="C904" s="9"/>
      <c r="D904" s="9"/>
      <c r="E904" s="9"/>
      <c r="F904" s="9"/>
      <c r="G904" s="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9"/>
      <c r="B905" s="9"/>
      <c r="C905" s="9"/>
      <c r="D905" s="9"/>
      <c r="E905" s="9"/>
      <c r="F905" s="9"/>
      <c r="G905" s="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9"/>
      <c r="B906" s="9"/>
      <c r="C906" s="9"/>
      <c r="D906" s="9"/>
      <c r="E906" s="9"/>
      <c r="F906" s="9"/>
      <c r="G906" s="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9"/>
      <c r="B907" s="9"/>
      <c r="C907" s="9"/>
      <c r="D907" s="9"/>
      <c r="E907" s="9"/>
      <c r="F907" s="9"/>
      <c r="G907" s="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9"/>
      <c r="B908" s="9"/>
      <c r="C908" s="9"/>
      <c r="D908" s="9"/>
      <c r="E908" s="9"/>
      <c r="F908" s="9"/>
      <c r="G908" s="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9"/>
      <c r="B909" s="9"/>
      <c r="C909" s="9"/>
      <c r="D909" s="9"/>
      <c r="E909" s="9"/>
      <c r="F909" s="9"/>
      <c r="G909" s="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9"/>
      <c r="B910" s="9"/>
      <c r="C910" s="9"/>
      <c r="D910" s="9"/>
      <c r="E910" s="9"/>
      <c r="F910" s="9"/>
      <c r="G910" s="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9"/>
      <c r="B911" s="9"/>
      <c r="C911" s="9"/>
      <c r="D911" s="9"/>
      <c r="E911" s="9"/>
      <c r="F911" s="9"/>
      <c r="G911" s="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9"/>
      <c r="B912" s="9"/>
      <c r="C912" s="9"/>
      <c r="D912" s="9"/>
      <c r="E912" s="9"/>
      <c r="F912" s="9"/>
      <c r="G912" s="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9"/>
      <c r="B913" s="9"/>
      <c r="C913" s="9"/>
      <c r="D913" s="9"/>
      <c r="E913" s="9"/>
      <c r="F913" s="9"/>
      <c r="G913" s="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9"/>
      <c r="B914" s="9"/>
      <c r="C914" s="9"/>
      <c r="D914" s="9"/>
      <c r="E914" s="9"/>
      <c r="F914" s="9"/>
      <c r="G914" s="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9"/>
      <c r="B915" s="9"/>
      <c r="C915" s="9"/>
      <c r="D915" s="9"/>
      <c r="E915" s="9"/>
      <c r="F915" s="9"/>
      <c r="G915" s="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9"/>
      <c r="B916" s="9"/>
      <c r="C916" s="9"/>
      <c r="D916" s="9"/>
      <c r="E916" s="9"/>
      <c r="F916" s="9"/>
      <c r="G916" s="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9"/>
      <c r="B917" s="9"/>
      <c r="C917" s="9"/>
      <c r="D917" s="9"/>
      <c r="E917" s="9"/>
      <c r="F917" s="9"/>
      <c r="G917" s="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9"/>
      <c r="B918" s="9"/>
      <c r="C918" s="9"/>
      <c r="D918" s="9"/>
      <c r="E918" s="9"/>
      <c r="F918" s="9"/>
      <c r="G918" s="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9"/>
      <c r="B919" s="9"/>
      <c r="C919" s="9"/>
      <c r="D919" s="9"/>
      <c r="E919" s="9"/>
      <c r="F919" s="9"/>
      <c r="G919" s="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9"/>
      <c r="B920" s="9"/>
      <c r="C920" s="9"/>
      <c r="D920" s="9"/>
      <c r="E920" s="9"/>
      <c r="F920" s="9"/>
      <c r="G920" s="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9"/>
      <c r="B921" s="9"/>
      <c r="C921" s="9"/>
      <c r="D921" s="9"/>
      <c r="E921" s="9"/>
      <c r="F921" s="9"/>
      <c r="G921" s="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9"/>
      <c r="B922" s="9"/>
      <c r="C922" s="9"/>
      <c r="D922" s="9"/>
      <c r="E922" s="9"/>
      <c r="F922" s="9"/>
      <c r="G922" s="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9"/>
      <c r="B923" s="9"/>
      <c r="C923" s="9"/>
      <c r="D923" s="9"/>
      <c r="E923" s="9"/>
      <c r="F923" s="9"/>
      <c r="G923" s="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9"/>
      <c r="B924" s="9"/>
      <c r="C924" s="9"/>
      <c r="D924" s="9"/>
      <c r="E924" s="9"/>
      <c r="F924" s="9"/>
      <c r="G924" s="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9"/>
      <c r="B925" s="9"/>
      <c r="C925" s="9"/>
      <c r="D925" s="9"/>
      <c r="E925" s="9"/>
      <c r="F925" s="9"/>
      <c r="G925" s="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9"/>
      <c r="B926" s="9"/>
      <c r="C926" s="9"/>
      <c r="D926" s="9"/>
      <c r="E926" s="9"/>
      <c r="F926" s="9"/>
      <c r="G926" s="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9"/>
      <c r="B927" s="9"/>
      <c r="C927" s="9"/>
      <c r="D927" s="9"/>
      <c r="E927" s="9"/>
      <c r="F927" s="9"/>
      <c r="G927" s="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9"/>
      <c r="B928" s="9"/>
      <c r="C928" s="9"/>
      <c r="D928" s="9"/>
      <c r="E928" s="9"/>
      <c r="F928" s="9"/>
      <c r="G928" s="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9"/>
      <c r="B929" s="9"/>
      <c r="C929" s="9"/>
      <c r="D929" s="9"/>
      <c r="E929" s="9"/>
      <c r="F929" s="9"/>
      <c r="G929" s="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9"/>
      <c r="B930" s="9"/>
      <c r="C930" s="9"/>
      <c r="D930" s="9"/>
      <c r="E930" s="9"/>
      <c r="F930" s="9"/>
      <c r="G930" s="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9"/>
      <c r="B931" s="9"/>
      <c r="C931" s="9"/>
      <c r="D931" s="9"/>
      <c r="E931" s="9"/>
      <c r="F931" s="9"/>
      <c r="G931" s="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9"/>
      <c r="B932" s="9"/>
      <c r="C932" s="9"/>
      <c r="D932" s="9"/>
      <c r="E932" s="9"/>
      <c r="F932" s="9"/>
      <c r="G932" s="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9"/>
      <c r="B933" s="9"/>
      <c r="C933" s="9"/>
      <c r="D933" s="9"/>
      <c r="E933" s="9"/>
      <c r="F933" s="9"/>
      <c r="G933" s="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9"/>
      <c r="B934" s="9"/>
      <c r="C934" s="9"/>
      <c r="D934" s="9"/>
      <c r="E934" s="9"/>
      <c r="F934" s="9"/>
      <c r="G934" s="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9"/>
      <c r="B935" s="9"/>
      <c r="C935" s="9"/>
      <c r="D935" s="9"/>
      <c r="E935" s="9"/>
      <c r="F935" s="9"/>
      <c r="G935" s="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9"/>
      <c r="B936" s="9"/>
      <c r="C936" s="9"/>
      <c r="D936" s="9"/>
      <c r="E936" s="9"/>
      <c r="F936" s="9"/>
      <c r="G936" s="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9"/>
      <c r="B937" s="9"/>
      <c r="C937" s="9"/>
      <c r="D937" s="9"/>
      <c r="E937" s="9"/>
      <c r="F937" s="9"/>
      <c r="G937" s="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9"/>
      <c r="B938" s="9"/>
      <c r="C938" s="9"/>
      <c r="D938" s="9"/>
      <c r="E938" s="9"/>
      <c r="F938" s="9"/>
      <c r="G938" s="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9"/>
      <c r="B939" s="9"/>
      <c r="C939" s="9"/>
      <c r="D939" s="9"/>
      <c r="E939" s="9"/>
      <c r="F939" s="9"/>
      <c r="G939" s="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9"/>
      <c r="B940" s="9"/>
      <c r="C940" s="9"/>
      <c r="D940" s="9"/>
      <c r="E940" s="9"/>
      <c r="F940" s="9"/>
      <c r="G940" s="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9"/>
      <c r="B941" s="9"/>
      <c r="C941" s="9"/>
      <c r="D941" s="9"/>
      <c r="E941" s="9"/>
      <c r="F941" s="9"/>
      <c r="G941" s="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9"/>
      <c r="B942" s="9"/>
      <c r="C942" s="9"/>
      <c r="D942" s="9"/>
      <c r="E942" s="9"/>
      <c r="F942" s="9"/>
      <c r="G942" s="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9"/>
      <c r="B943" s="9"/>
      <c r="C943" s="9"/>
      <c r="D943" s="9"/>
      <c r="E943" s="9"/>
      <c r="F943" s="9"/>
      <c r="G943" s="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9"/>
      <c r="B944" s="9"/>
      <c r="C944" s="9"/>
      <c r="D944" s="9"/>
      <c r="E944" s="9"/>
      <c r="F944" s="9"/>
      <c r="G944" s="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9"/>
      <c r="B945" s="9"/>
      <c r="C945" s="9"/>
      <c r="D945" s="9"/>
      <c r="E945" s="9"/>
      <c r="F945" s="9"/>
      <c r="G945" s="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9"/>
      <c r="B946" s="9"/>
      <c r="C946" s="9"/>
      <c r="D946" s="9"/>
      <c r="E946" s="9"/>
      <c r="F946" s="9"/>
      <c r="G946" s="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9"/>
      <c r="B947" s="9"/>
      <c r="C947" s="9"/>
      <c r="D947" s="9"/>
      <c r="E947" s="9"/>
      <c r="F947" s="9"/>
      <c r="G947" s="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9"/>
      <c r="B948" s="9"/>
      <c r="C948" s="9"/>
      <c r="D948" s="9"/>
      <c r="E948" s="9"/>
      <c r="F948" s="9"/>
      <c r="G948" s="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9"/>
      <c r="B949" s="9"/>
      <c r="C949" s="9"/>
      <c r="D949" s="9"/>
      <c r="E949" s="9"/>
      <c r="F949" s="9"/>
      <c r="G949" s="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9"/>
      <c r="B950" s="9"/>
      <c r="C950" s="9"/>
      <c r="D950" s="9"/>
      <c r="E950" s="9"/>
      <c r="F950" s="9"/>
      <c r="G950" s="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9"/>
      <c r="B951" s="9"/>
      <c r="C951" s="9"/>
      <c r="D951" s="9"/>
      <c r="E951" s="9"/>
      <c r="F951" s="9"/>
      <c r="G951" s="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9"/>
      <c r="B952" s="9"/>
      <c r="C952" s="9"/>
      <c r="D952" s="9"/>
      <c r="E952" s="9"/>
      <c r="F952" s="9"/>
      <c r="G952" s="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9"/>
      <c r="B953" s="9"/>
      <c r="C953" s="9"/>
      <c r="D953" s="9"/>
      <c r="E953" s="9"/>
      <c r="F953" s="9"/>
      <c r="G953" s="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9"/>
      <c r="B954" s="9"/>
      <c r="C954" s="9"/>
      <c r="D954" s="9"/>
      <c r="E954" s="9"/>
      <c r="F954" s="9"/>
      <c r="G954" s="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9"/>
      <c r="B955" s="9"/>
      <c r="C955" s="9"/>
      <c r="D955" s="9"/>
      <c r="E955" s="9"/>
      <c r="F955" s="9"/>
      <c r="G955" s="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9"/>
      <c r="B956" s="9"/>
      <c r="C956" s="9"/>
      <c r="D956" s="9"/>
      <c r="E956" s="9"/>
      <c r="F956" s="9"/>
      <c r="G956" s="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9"/>
      <c r="B957" s="9"/>
      <c r="C957" s="9"/>
      <c r="D957" s="9"/>
      <c r="E957" s="9"/>
      <c r="F957" s="9"/>
      <c r="G957" s="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9"/>
      <c r="B958" s="9"/>
      <c r="C958" s="9"/>
      <c r="D958" s="9"/>
      <c r="E958" s="9"/>
      <c r="F958" s="9"/>
      <c r="G958" s="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9"/>
      <c r="B959" s="9"/>
      <c r="C959" s="9"/>
      <c r="D959" s="9"/>
      <c r="E959" s="9"/>
      <c r="F959" s="9"/>
      <c r="G959" s="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9"/>
      <c r="B960" s="9"/>
      <c r="C960" s="9"/>
      <c r="D960" s="9"/>
      <c r="E960" s="9"/>
      <c r="F960" s="9"/>
      <c r="G960" s="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9"/>
      <c r="B961" s="9"/>
      <c r="C961" s="9"/>
      <c r="D961" s="9"/>
      <c r="E961" s="9"/>
      <c r="F961" s="9"/>
      <c r="G961" s="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9"/>
      <c r="B962" s="9"/>
      <c r="C962" s="9"/>
      <c r="D962" s="9"/>
      <c r="E962" s="9"/>
      <c r="F962" s="9"/>
      <c r="G962" s="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9"/>
      <c r="B963" s="9"/>
      <c r="C963" s="9"/>
      <c r="D963" s="9"/>
      <c r="E963" s="9"/>
      <c r="F963" s="9"/>
      <c r="G963" s="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9"/>
      <c r="B964" s="9"/>
      <c r="C964" s="9"/>
      <c r="D964" s="9"/>
      <c r="E964" s="9"/>
      <c r="F964" s="9"/>
      <c r="G964" s="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9"/>
      <c r="B965" s="9"/>
      <c r="C965" s="9"/>
      <c r="D965" s="9"/>
      <c r="E965" s="9"/>
      <c r="F965" s="9"/>
      <c r="G965" s="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9"/>
      <c r="B966" s="9"/>
      <c r="C966" s="9"/>
      <c r="D966" s="9"/>
      <c r="E966" s="9"/>
      <c r="F966" s="9"/>
      <c r="G966" s="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9"/>
      <c r="B967" s="9"/>
      <c r="C967" s="9"/>
      <c r="D967" s="9"/>
      <c r="E967" s="9"/>
      <c r="F967" s="9"/>
      <c r="G967" s="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9"/>
      <c r="B968" s="9"/>
      <c r="C968" s="9"/>
      <c r="D968" s="9"/>
      <c r="E968" s="9"/>
      <c r="F968" s="9"/>
      <c r="G968" s="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9"/>
      <c r="B969" s="9"/>
      <c r="C969" s="9"/>
      <c r="D969" s="9"/>
      <c r="E969" s="9"/>
      <c r="F969" s="9"/>
      <c r="G969" s="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9"/>
      <c r="B970" s="9"/>
      <c r="C970" s="9"/>
      <c r="D970" s="9"/>
      <c r="E970" s="9"/>
      <c r="F970" s="9"/>
      <c r="G970" s="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9"/>
      <c r="B971" s="9"/>
      <c r="C971" s="9"/>
      <c r="D971" s="9"/>
      <c r="E971" s="9"/>
      <c r="F971" s="9"/>
      <c r="G971" s="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9"/>
      <c r="B972" s="9"/>
      <c r="C972" s="9"/>
      <c r="D972" s="9"/>
      <c r="E972" s="9"/>
      <c r="F972" s="9"/>
      <c r="G972" s="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9"/>
      <c r="B973" s="9"/>
      <c r="C973" s="9"/>
      <c r="D973" s="9"/>
      <c r="E973" s="9"/>
      <c r="F973" s="9"/>
      <c r="G973" s="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9"/>
      <c r="B974" s="9"/>
      <c r="C974" s="9"/>
      <c r="D974" s="9"/>
      <c r="E974" s="9"/>
      <c r="F974" s="9"/>
      <c r="G974" s="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9"/>
      <c r="B975" s="9"/>
      <c r="C975" s="9"/>
      <c r="D975" s="9"/>
      <c r="E975" s="9"/>
      <c r="F975" s="9"/>
      <c r="G975" s="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9"/>
      <c r="B976" s="9"/>
      <c r="C976" s="9"/>
      <c r="D976" s="9"/>
      <c r="E976" s="9"/>
      <c r="F976" s="9"/>
      <c r="G976" s="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9"/>
      <c r="B977" s="9"/>
      <c r="C977" s="9"/>
      <c r="D977" s="9"/>
      <c r="E977" s="9"/>
      <c r="F977" s="9"/>
      <c r="G977" s="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9"/>
      <c r="B978" s="9"/>
      <c r="C978" s="9"/>
      <c r="D978" s="9"/>
      <c r="E978" s="9"/>
      <c r="F978" s="9"/>
      <c r="G978" s="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9"/>
      <c r="B979" s="9"/>
      <c r="C979" s="9"/>
      <c r="D979" s="9"/>
      <c r="E979" s="9"/>
      <c r="F979" s="9"/>
      <c r="G979" s="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9"/>
      <c r="B980" s="9"/>
      <c r="C980" s="9"/>
      <c r="D980" s="9"/>
      <c r="E980" s="9"/>
      <c r="F980" s="9"/>
      <c r="G980" s="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9"/>
      <c r="B981" s="9"/>
      <c r="C981" s="9"/>
      <c r="D981" s="9"/>
      <c r="E981" s="9"/>
      <c r="F981" s="9"/>
      <c r="G981" s="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9"/>
      <c r="B982" s="9"/>
      <c r="C982" s="9"/>
      <c r="D982" s="9"/>
      <c r="E982" s="9"/>
      <c r="F982" s="9"/>
      <c r="G982" s="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9"/>
      <c r="B983" s="9"/>
      <c r="C983" s="9"/>
      <c r="D983" s="9"/>
      <c r="E983" s="9"/>
      <c r="F983" s="9"/>
      <c r="G983" s="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9"/>
      <c r="B984" s="9"/>
      <c r="C984" s="9"/>
      <c r="D984" s="9"/>
      <c r="E984" s="9"/>
      <c r="F984" s="9"/>
      <c r="G984" s="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9"/>
      <c r="B985" s="9"/>
      <c r="C985" s="9"/>
      <c r="D985" s="9"/>
      <c r="E985" s="9"/>
      <c r="F985" s="9"/>
      <c r="G985" s="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9"/>
      <c r="B986" s="9"/>
      <c r="C986" s="9"/>
      <c r="D986" s="9"/>
      <c r="E986" s="9"/>
      <c r="F986" s="9"/>
      <c r="G986" s="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9"/>
      <c r="B987" s="9"/>
      <c r="C987" s="9"/>
      <c r="D987" s="9"/>
      <c r="E987" s="9"/>
      <c r="F987" s="9"/>
      <c r="G987" s="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9"/>
      <c r="B988" s="9"/>
      <c r="C988" s="9"/>
      <c r="D988" s="9"/>
      <c r="E988" s="9"/>
      <c r="F988" s="9"/>
      <c r="G988" s="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9"/>
      <c r="B989" s="9"/>
      <c r="C989" s="9"/>
      <c r="D989" s="9"/>
      <c r="E989" s="9"/>
      <c r="F989" s="9"/>
      <c r="G989" s="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9"/>
      <c r="B990" s="9"/>
      <c r="C990" s="9"/>
      <c r="D990" s="9"/>
      <c r="E990" s="9"/>
      <c r="F990" s="9"/>
      <c r="G990" s="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9"/>
      <c r="B991" s="9"/>
      <c r="C991" s="9"/>
      <c r="D991" s="9"/>
      <c r="E991" s="9"/>
      <c r="F991" s="9"/>
      <c r="G991" s="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9"/>
      <c r="B992" s="9"/>
      <c r="C992" s="9"/>
      <c r="D992" s="9"/>
      <c r="E992" s="9"/>
      <c r="F992" s="9"/>
      <c r="G992" s="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9"/>
      <c r="B993" s="9"/>
      <c r="C993" s="9"/>
      <c r="D993" s="9"/>
      <c r="E993" s="9"/>
      <c r="F993" s="9"/>
      <c r="G993" s="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9"/>
      <c r="B994" s="9"/>
      <c r="C994" s="9"/>
      <c r="D994" s="9"/>
      <c r="E994" s="9"/>
      <c r="F994" s="9"/>
      <c r="G994" s="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9"/>
      <c r="B995" s="9"/>
      <c r="C995" s="9"/>
      <c r="D995" s="9"/>
      <c r="E995" s="9"/>
      <c r="F995" s="9"/>
      <c r="G995" s="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9"/>
      <c r="B996" s="9"/>
      <c r="C996" s="9"/>
      <c r="D996" s="9"/>
      <c r="E996" s="9"/>
      <c r="F996" s="9"/>
      <c r="G996" s="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9"/>
      <c r="B997" s="9"/>
      <c r="C997" s="9"/>
      <c r="D997" s="9"/>
      <c r="E997" s="9"/>
      <c r="F997" s="9"/>
      <c r="G997" s="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9"/>
      <c r="B998" s="9"/>
      <c r="C998" s="9"/>
      <c r="D998" s="9"/>
      <c r="E998" s="9"/>
      <c r="F998" s="9"/>
      <c r="G998" s="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9"/>
      <c r="B999" s="9"/>
      <c r="C999" s="9"/>
      <c r="D999" s="9"/>
      <c r="E999" s="9"/>
      <c r="F999" s="9"/>
      <c r="G999" s="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9"/>
      <c r="B1000" s="9"/>
      <c r="C1000" s="9"/>
      <c r="D1000" s="9"/>
      <c r="E1000" s="9"/>
      <c r="F1000" s="9"/>
      <c r="G1000" s="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G$1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40.0"/>
    <col customWidth="1" min="4" max="4" width="34.0"/>
    <col customWidth="1" min="5" max="5" width="30.0"/>
    <col customWidth="1" min="6" max="26" width="8.71"/>
  </cols>
  <sheetData>
    <row r="1" ht="30.0" customHeight="1">
      <c r="A1" s="8" t="s">
        <v>580</v>
      </c>
      <c r="B1" s="9"/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60.0" customHeight="1">
      <c r="A2" s="26" t="s">
        <v>581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1.75" customHeight="1">
      <c r="A5" s="19" t="s">
        <v>582</v>
      </c>
      <c r="B5" s="20"/>
      <c r="C5" s="20"/>
      <c r="D5" s="20"/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5" t="s">
        <v>583</v>
      </c>
      <c r="B6" s="5" t="s">
        <v>584</v>
      </c>
      <c r="C6" s="5" t="s">
        <v>585</v>
      </c>
      <c r="D6" s="24"/>
      <c r="E6" s="24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54.0" customHeight="1">
      <c r="A7" s="14" t="s">
        <v>586</v>
      </c>
      <c r="B7" s="14" t="s">
        <v>587</v>
      </c>
      <c r="C7" s="14" t="s">
        <v>588</v>
      </c>
      <c r="D7" s="25"/>
      <c r="E7" s="2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54.0" customHeight="1">
      <c r="A8" s="14" t="s">
        <v>589</v>
      </c>
      <c r="B8" s="14" t="s">
        <v>590</v>
      </c>
      <c r="C8" s="14" t="s">
        <v>591</v>
      </c>
      <c r="D8" s="25"/>
      <c r="E8" s="2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4.0" customHeight="1">
      <c r="A9" s="14" t="s">
        <v>592</v>
      </c>
      <c r="B9" s="14" t="s">
        <v>593</v>
      </c>
      <c r="C9" s="14" t="s">
        <v>594</v>
      </c>
      <c r="D9" s="25"/>
      <c r="E9" s="25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1.75" customHeight="1">
      <c r="A11" s="19" t="s">
        <v>595</v>
      </c>
      <c r="B11" s="20"/>
      <c r="C11" s="20"/>
      <c r="D11" s="20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5" t="s">
        <v>596</v>
      </c>
      <c r="B12" s="5" t="s">
        <v>597</v>
      </c>
      <c r="C12" s="5" t="s">
        <v>598</v>
      </c>
      <c r="D12" s="24"/>
      <c r="E12" s="24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51.75" customHeight="1">
      <c r="A13" s="14" t="s">
        <v>599</v>
      </c>
      <c r="B13" s="14" t="s">
        <v>600</v>
      </c>
      <c r="C13" s="14" t="s">
        <v>601</v>
      </c>
      <c r="D13" s="25"/>
      <c r="E13" s="25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51.75" customHeight="1">
      <c r="A14" s="14" t="s">
        <v>602</v>
      </c>
      <c r="B14" s="14" t="s">
        <v>603</v>
      </c>
      <c r="C14" s="14" t="s">
        <v>604</v>
      </c>
      <c r="D14" s="25"/>
      <c r="E14" s="25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51.75" customHeight="1">
      <c r="A15" s="14" t="s">
        <v>605</v>
      </c>
      <c r="B15" s="14" t="s">
        <v>606</v>
      </c>
      <c r="C15" s="14" t="s">
        <v>607</v>
      </c>
      <c r="D15" s="25"/>
      <c r="E15" s="25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9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1.75" customHeight="1">
      <c r="A17" s="19" t="s">
        <v>608</v>
      </c>
      <c r="B17" s="20"/>
      <c r="C17" s="20"/>
      <c r="D17" s="20"/>
      <c r="E17" s="1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5" t="s">
        <v>609</v>
      </c>
      <c r="B18" s="5" t="s">
        <v>184</v>
      </c>
      <c r="C18" s="5" t="s">
        <v>610</v>
      </c>
      <c r="D18" s="24"/>
      <c r="E18" s="24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63.75" customHeight="1">
      <c r="A19" s="14" t="s">
        <v>611</v>
      </c>
      <c r="B19" s="14" t="s">
        <v>612</v>
      </c>
      <c r="C19" s="14" t="s">
        <v>613</v>
      </c>
      <c r="D19" s="9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63.75" customHeight="1">
      <c r="A20" s="14" t="s">
        <v>614</v>
      </c>
      <c r="B20" s="14" t="s">
        <v>615</v>
      </c>
      <c r="C20" s="14" t="s">
        <v>616</v>
      </c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63.75" customHeight="1">
      <c r="A21" s="14" t="s">
        <v>617</v>
      </c>
      <c r="B21" s="14" t="s">
        <v>618</v>
      </c>
      <c r="C21" s="14" t="s">
        <v>619</v>
      </c>
      <c r="D21" s="9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63.75" customHeight="1">
      <c r="A22" s="14" t="s">
        <v>620</v>
      </c>
      <c r="B22" s="14" t="s">
        <v>621</v>
      </c>
      <c r="C22" s="14" t="s">
        <v>622</v>
      </c>
      <c r="D22" s="9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/>
      <c r="B23" s="9"/>
      <c r="C23" s="9"/>
      <c r="D23" s="9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/>
      <c r="B24" s="9"/>
      <c r="C24" s="9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/>
      <c r="B25" s="9"/>
      <c r="C25" s="9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/>
      <c r="B26" s="9"/>
      <c r="C26" s="9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/>
      <c r="B27" s="9"/>
      <c r="C27" s="9"/>
      <c r="D27" s="9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/>
      <c r="B28" s="9"/>
      <c r="C28" s="9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/>
      <c r="B29" s="9"/>
      <c r="C29" s="9"/>
      <c r="D29" s="9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/>
      <c r="B30" s="9"/>
      <c r="C30" s="9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/>
      <c r="B31" s="9"/>
      <c r="C31" s="9"/>
      <c r="D31" s="9"/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/>
      <c r="B32" s="9"/>
      <c r="C32" s="9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/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/>
      <c r="B34" s="9"/>
      <c r="C34" s="9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/>
      <c r="B35" s="9"/>
      <c r="C35" s="9"/>
      <c r="D35" s="9"/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/>
      <c r="B36" s="9"/>
      <c r="C36" s="9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/>
      <c r="B37" s="9"/>
      <c r="C37" s="9"/>
      <c r="D37" s="9"/>
      <c r="E37" s="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/>
      <c r="B38" s="9"/>
      <c r="C38" s="9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/>
      <c r="B39" s="9"/>
      <c r="C39" s="9"/>
      <c r="D39" s="9"/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/>
      <c r="B40" s="9"/>
      <c r="C40" s="9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/>
      <c r="B41" s="9"/>
      <c r="C41" s="9"/>
      <c r="D41" s="9"/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/>
      <c r="B42" s="9"/>
      <c r="C42" s="9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/>
      <c r="B43" s="9"/>
      <c r="C43" s="9"/>
      <c r="D43" s="9"/>
      <c r="E43" s="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/>
      <c r="B44" s="9"/>
      <c r="C44" s="9"/>
      <c r="D44" s="9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/>
      <c r="B45" s="9"/>
      <c r="C45" s="9"/>
      <c r="D45" s="9"/>
      <c r="E45" s="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/>
      <c r="B46" s="9"/>
      <c r="C46" s="9"/>
      <c r="D46" s="9"/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/>
      <c r="B47" s="9"/>
      <c r="C47" s="9"/>
      <c r="D47" s="9"/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/>
      <c r="B48" s="9"/>
      <c r="C48" s="9"/>
      <c r="D48" s="9"/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/>
      <c r="B49" s="9"/>
      <c r="C49" s="9"/>
      <c r="D49" s="9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9"/>
      <c r="B229" s="9"/>
      <c r="C229" s="9"/>
      <c r="D229" s="9"/>
      <c r="E229" s="9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9"/>
      <c r="B230" s="9"/>
      <c r="C230" s="9"/>
      <c r="D230" s="9"/>
      <c r="E230" s="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9"/>
      <c r="B231" s="9"/>
      <c r="C231" s="9"/>
      <c r="D231" s="9"/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9"/>
      <c r="B232" s="9"/>
      <c r="C232" s="9"/>
      <c r="D232" s="9"/>
      <c r="E232" s="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9"/>
      <c r="B233" s="9"/>
      <c r="C233" s="9"/>
      <c r="D233" s="9"/>
      <c r="E233" s="9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/>
      <c r="B234" s="9"/>
      <c r="C234" s="9"/>
      <c r="D234" s="9"/>
      <c r="E234" s="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9"/>
      <c r="B235" s="9"/>
      <c r="C235" s="9"/>
      <c r="D235" s="9"/>
      <c r="E235" s="9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/>
      <c r="B236" s="9"/>
      <c r="C236" s="9"/>
      <c r="D236" s="9"/>
      <c r="E236" s="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9"/>
      <c r="D237" s="9"/>
      <c r="E237" s="9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/>
      <c r="B238" s="9"/>
      <c r="C238" s="9"/>
      <c r="D238" s="9"/>
      <c r="E238" s="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9"/>
      <c r="B239" s="9"/>
      <c r="C239" s="9"/>
      <c r="D239" s="9"/>
      <c r="E239" s="9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/>
      <c r="B240" s="9"/>
      <c r="C240" s="9"/>
      <c r="D240" s="9"/>
      <c r="E240" s="9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9"/>
      <c r="B241" s="9"/>
      <c r="C241" s="9"/>
      <c r="D241" s="9"/>
      <c r="E241" s="9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/>
      <c r="B242" s="9"/>
      <c r="C242" s="9"/>
      <c r="D242" s="9"/>
      <c r="E242" s="9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9"/>
      <c r="B243" s="9"/>
      <c r="C243" s="9"/>
      <c r="D243" s="9"/>
      <c r="E243" s="9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9"/>
      <c r="B244" s="9"/>
      <c r="C244" s="9"/>
      <c r="D244" s="9"/>
      <c r="E244" s="9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9"/>
      <c r="B245" s="9"/>
      <c r="C245" s="9"/>
      <c r="D245" s="9"/>
      <c r="E245" s="9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9"/>
      <c r="B246" s="9"/>
      <c r="C246" s="9"/>
      <c r="D246" s="9"/>
      <c r="E246" s="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9"/>
      <c r="B247" s="9"/>
      <c r="C247" s="9"/>
      <c r="D247" s="9"/>
      <c r="E247" s="9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/>
      <c r="B248" s="9"/>
      <c r="C248" s="9"/>
      <c r="D248" s="9"/>
      <c r="E248" s="9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9"/>
      <c r="B249" s="9"/>
      <c r="C249" s="9"/>
      <c r="D249" s="9"/>
      <c r="E249" s="9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/>
      <c r="B250" s="9"/>
      <c r="C250" s="9"/>
      <c r="D250" s="9"/>
      <c r="E250" s="9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9"/>
      <c r="B251" s="9"/>
      <c r="C251" s="9"/>
      <c r="D251" s="9"/>
      <c r="E251" s="9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/>
      <c r="B252" s="9"/>
      <c r="C252" s="9"/>
      <c r="D252" s="9"/>
      <c r="E252" s="9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9"/>
      <c r="B253" s="9"/>
      <c r="C253" s="9"/>
      <c r="D253" s="9"/>
      <c r="E253" s="9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/>
      <c r="B254" s="9"/>
      <c r="C254" s="9"/>
      <c r="D254" s="9"/>
      <c r="E254" s="9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9"/>
      <c r="B255" s="9"/>
      <c r="C255" s="9"/>
      <c r="D255" s="9"/>
      <c r="E255" s="9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/>
      <c r="B256" s="9"/>
      <c r="C256" s="9"/>
      <c r="D256" s="9"/>
      <c r="E256" s="9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9"/>
      <c r="B257" s="9"/>
      <c r="C257" s="9"/>
      <c r="D257" s="9"/>
      <c r="E257" s="9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/>
      <c r="B258" s="9"/>
      <c r="C258" s="9"/>
      <c r="D258" s="9"/>
      <c r="E258" s="9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9"/>
      <c r="B259" s="9"/>
      <c r="C259" s="9"/>
      <c r="D259" s="9"/>
      <c r="E259" s="9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/>
      <c r="B260" s="9"/>
      <c r="C260" s="9"/>
      <c r="D260" s="9"/>
      <c r="E260" s="9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9"/>
      <c r="B261" s="9"/>
      <c r="C261" s="9"/>
      <c r="D261" s="9"/>
      <c r="E261" s="9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/>
      <c r="B262" s="9"/>
      <c r="C262" s="9"/>
      <c r="D262" s="9"/>
      <c r="E262" s="9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9"/>
      <c r="B263" s="9"/>
      <c r="C263" s="9"/>
      <c r="D263" s="9"/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/>
      <c r="B264" s="9"/>
      <c r="C264" s="9"/>
      <c r="D264" s="9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9"/>
      <c r="B265" s="9"/>
      <c r="C265" s="9"/>
      <c r="D265" s="9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/>
      <c r="B266" s="9"/>
      <c r="C266" s="9"/>
      <c r="D266" s="9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9"/>
      <c r="B267" s="9"/>
      <c r="C267" s="9"/>
      <c r="D267" s="9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9"/>
      <c r="B268" s="9"/>
      <c r="C268" s="9"/>
      <c r="D268" s="9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9"/>
      <c r="B269" s="9"/>
      <c r="C269" s="9"/>
      <c r="D269" s="9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/>
      <c r="B270" s="9"/>
      <c r="C270" s="9"/>
      <c r="D270" s="9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9"/>
      <c r="B271" s="9"/>
      <c r="C271" s="9"/>
      <c r="D271" s="9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/>
      <c r="B272" s="9"/>
      <c r="C272" s="9"/>
      <c r="D272" s="9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9"/>
      <c r="B273" s="9"/>
      <c r="C273" s="9"/>
      <c r="D273" s="9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/>
      <c r="B274" s="9"/>
      <c r="C274" s="9"/>
      <c r="D274" s="9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9"/>
      <c r="B275" s="9"/>
      <c r="C275" s="9"/>
      <c r="D275" s="9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/>
      <c r="B276" s="9"/>
      <c r="C276" s="9"/>
      <c r="D276" s="9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9"/>
      <c r="B277" s="9"/>
      <c r="C277" s="9"/>
      <c r="D277" s="9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/>
      <c r="B278" s="9"/>
      <c r="C278" s="9"/>
      <c r="D278" s="9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9"/>
      <c r="B279" s="9"/>
      <c r="C279" s="9"/>
      <c r="D279" s="9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/>
      <c r="B280" s="9"/>
      <c r="C280" s="9"/>
      <c r="D280" s="9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9"/>
      <c r="B281" s="9"/>
      <c r="C281" s="9"/>
      <c r="D281" s="9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/>
      <c r="B282" s="9"/>
      <c r="C282" s="9"/>
      <c r="D282" s="9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9"/>
      <c r="B283" s="9"/>
      <c r="C283" s="9"/>
      <c r="D283" s="9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/>
      <c r="B284" s="9"/>
      <c r="C284" s="9"/>
      <c r="D284" s="9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9"/>
      <c r="B285" s="9"/>
      <c r="C285" s="9"/>
      <c r="D285" s="9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/>
      <c r="B286" s="9"/>
      <c r="C286" s="9"/>
      <c r="D286" s="9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9"/>
      <c r="B287" s="9"/>
      <c r="C287" s="9"/>
      <c r="D287" s="9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/>
      <c r="B288" s="9"/>
      <c r="C288" s="9"/>
      <c r="D288" s="9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9"/>
      <c r="B289" s="9"/>
      <c r="C289" s="9"/>
      <c r="D289" s="9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/>
      <c r="B290" s="9"/>
      <c r="C290" s="9"/>
      <c r="D290" s="9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9"/>
      <c r="B291" s="9"/>
      <c r="C291" s="9"/>
      <c r="D291" s="9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/>
      <c r="B292" s="9"/>
      <c r="C292" s="9"/>
      <c r="D292" s="9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9"/>
      <c r="B293" s="9"/>
      <c r="C293" s="9"/>
      <c r="D293" s="9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/>
      <c r="B294" s="9"/>
      <c r="C294" s="9"/>
      <c r="D294" s="9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9"/>
      <c r="B295" s="9"/>
      <c r="C295" s="9"/>
      <c r="D295" s="9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/>
      <c r="B296" s="9"/>
      <c r="C296" s="9"/>
      <c r="D296" s="9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9"/>
      <c r="B297" s="9"/>
      <c r="C297" s="9"/>
      <c r="D297" s="9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/>
      <c r="B298" s="9"/>
      <c r="C298" s="9"/>
      <c r="D298" s="9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9"/>
      <c r="B299" s="9"/>
      <c r="C299" s="9"/>
      <c r="D299" s="9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/>
      <c r="B300" s="9"/>
      <c r="C300" s="9"/>
      <c r="D300" s="9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9"/>
      <c r="B301" s="9"/>
      <c r="C301" s="9"/>
      <c r="D301" s="9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9"/>
      <c r="B302" s="9"/>
      <c r="C302" s="9"/>
      <c r="D302" s="9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9"/>
      <c r="B303" s="9"/>
      <c r="C303" s="9"/>
      <c r="D303" s="9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/>
      <c r="B304" s="9"/>
      <c r="C304" s="9"/>
      <c r="D304" s="9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9"/>
      <c r="B305" s="9"/>
      <c r="C305" s="9"/>
      <c r="D305" s="9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/>
      <c r="B306" s="9"/>
      <c r="C306" s="9"/>
      <c r="D306" s="9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9"/>
      <c r="B307" s="9"/>
      <c r="C307" s="9"/>
      <c r="D307" s="9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/>
      <c r="B308" s="9"/>
      <c r="C308" s="9"/>
      <c r="D308" s="9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9"/>
      <c r="B309" s="9"/>
      <c r="C309" s="9"/>
      <c r="D309" s="9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/>
      <c r="B310" s="9"/>
      <c r="C310" s="9"/>
      <c r="D310" s="9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9"/>
      <c r="B311" s="9"/>
      <c r="C311" s="9"/>
      <c r="D311" s="9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/>
      <c r="B312" s="9"/>
      <c r="C312" s="9"/>
      <c r="D312" s="9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9"/>
      <c r="B313" s="9"/>
      <c r="C313" s="9"/>
      <c r="D313" s="9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/>
      <c r="B314" s="9"/>
      <c r="C314" s="9"/>
      <c r="D314" s="9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9"/>
      <c r="B315" s="9"/>
      <c r="C315" s="9"/>
      <c r="D315" s="9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9"/>
      <c r="B316" s="9"/>
      <c r="C316" s="9"/>
      <c r="D316" s="9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9"/>
      <c r="B317" s="9"/>
      <c r="C317" s="9"/>
      <c r="D317" s="9"/>
      <c r="E317" s="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/>
      <c r="B318" s="9"/>
      <c r="C318" s="9"/>
      <c r="D318" s="9"/>
      <c r="E318" s="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9"/>
      <c r="B319" s="9"/>
      <c r="C319" s="9"/>
      <c r="D319" s="9"/>
      <c r="E319" s="9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9"/>
      <c r="B320" s="9"/>
      <c r="C320" s="9"/>
      <c r="D320" s="9"/>
      <c r="E320" s="9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9"/>
      <c r="B321" s="9"/>
      <c r="C321" s="9"/>
      <c r="D321" s="9"/>
      <c r="E321" s="9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9"/>
      <c r="B322" s="9"/>
      <c r="C322" s="9"/>
      <c r="D322" s="9"/>
      <c r="E322" s="9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9"/>
      <c r="B323" s="9"/>
      <c r="C323" s="9"/>
      <c r="D323" s="9"/>
      <c r="E323" s="9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9"/>
      <c r="B324" s="9"/>
      <c r="C324" s="9"/>
      <c r="D324" s="9"/>
      <c r="E324" s="9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9"/>
      <c r="B325" s="9"/>
      <c r="C325" s="9"/>
      <c r="D325" s="9"/>
      <c r="E325" s="9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9"/>
      <c r="B326" s="9"/>
      <c r="C326" s="9"/>
      <c r="D326" s="9"/>
      <c r="E326" s="9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9"/>
      <c r="B327" s="9"/>
      <c r="C327" s="9"/>
      <c r="D327" s="9"/>
      <c r="E327" s="9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/>
      <c r="B328" s="9"/>
      <c r="C328" s="9"/>
      <c r="D328" s="9"/>
      <c r="E328" s="9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9"/>
      <c r="B329" s="9"/>
      <c r="C329" s="9"/>
      <c r="D329" s="9"/>
      <c r="E329" s="9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/>
      <c r="B330" s="9"/>
      <c r="C330" s="9"/>
      <c r="D330" s="9"/>
      <c r="E330" s="9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9"/>
      <c r="B331" s="9"/>
      <c r="C331" s="9"/>
      <c r="D331" s="9"/>
      <c r="E331" s="9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9"/>
      <c r="B332" s="9"/>
      <c r="C332" s="9"/>
      <c r="D332" s="9"/>
      <c r="E332" s="9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9"/>
      <c r="B333" s="9"/>
      <c r="C333" s="9"/>
      <c r="D333" s="9"/>
      <c r="E333" s="9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/>
      <c r="B334" s="9"/>
      <c r="C334" s="9"/>
      <c r="D334" s="9"/>
      <c r="E334" s="9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9"/>
      <c r="B335" s="9"/>
      <c r="C335" s="9"/>
      <c r="D335" s="9"/>
      <c r="E335" s="9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9"/>
      <c r="B336" s="9"/>
      <c r="C336" s="9"/>
      <c r="D336" s="9"/>
      <c r="E336" s="9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9"/>
      <c r="B337" s="9"/>
      <c r="C337" s="9"/>
      <c r="D337" s="9"/>
      <c r="E337" s="9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9"/>
      <c r="B338" s="9"/>
      <c r="C338" s="9"/>
      <c r="D338" s="9"/>
      <c r="E338" s="9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9"/>
      <c r="B339" s="9"/>
      <c r="C339" s="9"/>
      <c r="D339" s="9"/>
      <c r="E339" s="9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/>
      <c r="B340" s="9"/>
      <c r="C340" s="9"/>
      <c r="D340" s="9"/>
      <c r="E340" s="9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9"/>
      <c r="B341" s="9"/>
      <c r="C341" s="9"/>
      <c r="D341" s="9"/>
      <c r="E341" s="9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/>
      <c r="B342" s="9"/>
      <c r="C342" s="9"/>
      <c r="D342" s="9"/>
      <c r="E342" s="9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9"/>
      <c r="B343" s="9"/>
      <c r="C343" s="9"/>
      <c r="D343" s="9"/>
      <c r="E343" s="9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/>
      <c r="B344" s="9"/>
      <c r="C344" s="9"/>
      <c r="D344" s="9"/>
      <c r="E344" s="9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9"/>
      <c r="B345" s="9"/>
      <c r="C345" s="9"/>
      <c r="D345" s="9"/>
      <c r="E345" s="9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/>
      <c r="B346" s="9"/>
      <c r="C346" s="9"/>
      <c r="D346" s="9"/>
      <c r="E346" s="9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9"/>
      <c r="B347" s="9"/>
      <c r="C347" s="9"/>
      <c r="D347" s="9"/>
      <c r="E347" s="9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9"/>
      <c r="B348" s="9"/>
      <c r="C348" s="9"/>
      <c r="D348" s="9"/>
      <c r="E348" s="9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9"/>
      <c r="B349" s="9"/>
      <c r="C349" s="9"/>
      <c r="D349" s="9"/>
      <c r="E349" s="9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/>
      <c r="B350" s="9"/>
      <c r="C350" s="9"/>
      <c r="D350" s="9"/>
      <c r="E350" s="9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9"/>
      <c r="B351" s="9"/>
      <c r="C351" s="9"/>
      <c r="D351" s="9"/>
      <c r="E351" s="9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/>
      <c r="B352" s="9"/>
      <c r="C352" s="9"/>
      <c r="D352" s="9"/>
      <c r="E352" s="9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9"/>
      <c r="B353" s="9"/>
      <c r="C353" s="9"/>
      <c r="D353" s="9"/>
      <c r="E353" s="9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/>
      <c r="B354" s="9"/>
      <c r="C354" s="9"/>
      <c r="D354" s="9"/>
      <c r="E354" s="9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9"/>
      <c r="B355" s="9"/>
      <c r="C355" s="9"/>
      <c r="D355" s="9"/>
      <c r="E355" s="9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9"/>
      <c r="B356" s="9"/>
      <c r="C356" s="9"/>
      <c r="D356" s="9"/>
      <c r="E356" s="9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9"/>
      <c r="B357" s="9"/>
      <c r="C357" s="9"/>
      <c r="D357" s="9"/>
      <c r="E357" s="9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/>
      <c r="B358" s="9"/>
      <c r="C358" s="9"/>
      <c r="D358" s="9"/>
      <c r="E358" s="9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9"/>
      <c r="B359" s="9"/>
      <c r="C359" s="9"/>
      <c r="D359" s="9"/>
      <c r="E359" s="9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9"/>
      <c r="B360" s="9"/>
      <c r="C360" s="9"/>
      <c r="D360" s="9"/>
      <c r="E360" s="9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9"/>
      <c r="B361" s="9"/>
      <c r="C361" s="9"/>
      <c r="D361" s="9"/>
      <c r="E361" s="9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9"/>
      <c r="B362" s="9"/>
      <c r="C362" s="9"/>
      <c r="D362" s="9"/>
      <c r="E362" s="9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9"/>
      <c r="B363" s="9"/>
      <c r="C363" s="9"/>
      <c r="D363" s="9"/>
      <c r="E363" s="9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/>
      <c r="B364" s="9"/>
      <c r="C364" s="9"/>
      <c r="D364" s="9"/>
      <c r="E364" s="9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9"/>
      <c r="B365" s="9"/>
      <c r="C365" s="9"/>
      <c r="D365" s="9"/>
      <c r="E365" s="9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/>
      <c r="B366" s="9"/>
      <c r="C366" s="9"/>
      <c r="D366" s="9"/>
      <c r="E366" s="9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9"/>
      <c r="B367" s="9"/>
      <c r="C367" s="9"/>
      <c r="D367" s="9"/>
      <c r="E367" s="9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9"/>
      <c r="B368" s="9"/>
      <c r="C368" s="9"/>
      <c r="D368" s="9"/>
      <c r="E368" s="9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9"/>
      <c r="B369" s="9"/>
      <c r="C369" s="9"/>
      <c r="D369" s="9"/>
      <c r="E369" s="9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/>
      <c r="B370" s="9"/>
      <c r="C370" s="9"/>
      <c r="D370" s="9"/>
      <c r="E370" s="9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9"/>
      <c r="B371" s="9"/>
      <c r="C371" s="9"/>
      <c r="D371" s="9"/>
      <c r="E371" s="9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9"/>
      <c r="B372" s="9"/>
      <c r="C372" s="9"/>
      <c r="D372" s="9"/>
      <c r="E372" s="9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9"/>
      <c r="B373" s="9"/>
      <c r="C373" s="9"/>
      <c r="D373" s="9"/>
      <c r="E373" s="9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9"/>
      <c r="B374" s="9"/>
      <c r="C374" s="9"/>
      <c r="D374" s="9"/>
      <c r="E374" s="9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9"/>
      <c r="B375" s="9"/>
      <c r="C375" s="9"/>
      <c r="D375" s="9"/>
      <c r="E375" s="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9"/>
      <c r="B376" s="9"/>
      <c r="C376" s="9"/>
      <c r="D376" s="9"/>
      <c r="E376" s="9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9"/>
      <c r="B377" s="9"/>
      <c r="C377" s="9"/>
      <c r="D377" s="9"/>
      <c r="E377" s="9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/>
      <c r="B378" s="9"/>
      <c r="C378" s="9"/>
      <c r="D378" s="9"/>
      <c r="E378" s="9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9"/>
      <c r="B379" s="9"/>
      <c r="C379" s="9"/>
      <c r="D379" s="9"/>
      <c r="E379" s="9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9"/>
      <c r="B380" s="9"/>
      <c r="C380" s="9"/>
      <c r="D380" s="9"/>
      <c r="E380" s="9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9"/>
      <c r="B381" s="9"/>
      <c r="C381" s="9"/>
      <c r="D381" s="9"/>
      <c r="E381" s="9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/>
      <c r="B382" s="9"/>
      <c r="C382" s="9"/>
      <c r="D382" s="9"/>
      <c r="E382" s="9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9"/>
      <c r="B383" s="9"/>
      <c r="C383" s="9"/>
      <c r="D383" s="9"/>
      <c r="E383" s="9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/>
      <c r="B384" s="9"/>
      <c r="C384" s="9"/>
      <c r="D384" s="9"/>
      <c r="E384" s="9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9"/>
      <c r="B385" s="9"/>
      <c r="C385" s="9"/>
      <c r="D385" s="9"/>
      <c r="E385" s="9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/>
      <c r="B386" s="9"/>
      <c r="C386" s="9"/>
      <c r="D386" s="9"/>
      <c r="E386" s="9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9"/>
      <c r="B387" s="9"/>
      <c r="C387" s="9"/>
      <c r="D387" s="9"/>
      <c r="E387" s="9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/>
      <c r="B388" s="9"/>
      <c r="C388" s="9"/>
      <c r="D388" s="9"/>
      <c r="E388" s="9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9"/>
      <c r="B389" s="9"/>
      <c r="C389" s="9"/>
      <c r="D389" s="9"/>
      <c r="E389" s="9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/>
      <c r="B390" s="9"/>
      <c r="C390" s="9"/>
      <c r="D390" s="9"/>
      <c r="E390" s="9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9"/>
      <c r="B391" s="9"/>
      <c r="C391" s="9"/>
      <c r="D391" s="9"/>
      <c r="E391" s="9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/>
      <c r="B392" s="9"/>
      <c r="C392" s="9"/>
      <c r="D392" s="9"/>
      <c r="E392" s="9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9"/>
      <c r="B393" s="9"/>
      <c r="C393" s="9"/>
      <c r="D393" s="9"/>
      <c r="E393" s="9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/>
      <c r="B394" s="9"/>
      <c r="C394" s="9"/>
      <c r="D394" s="9"/>
      <c r="E394" s="9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9"/>
      <c r="B395" s="9"/>
      <c r="C395" s="9"/>
      <c r="D395" s="9"/>
      <c r="E395" s="9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/>
      <c r="B396" s="9"/>
      <c r="C396" s="9"/>
      <c r="D396" s="9"/>
      <c r="E396" s="9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"/>
      <c r="B397" s="9"/>
      <c r="C397" s="9"/>
      <c r="D397" s="9"/>
      <c r="E397" s="9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/>
      <c r="B398" s="9"/>
      <c r="C398" s="9"/>
      <c r="D398" s="9"/>
      <c r="E398" s="9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"/>
      <c r="B399" s="9"/>
      <c r="C399" s="9"/>
      <c r="D399" s="9"/>
      <c r="E399" s="9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/>
      <c r="B400" s="9"/>
      <c r="C400" s="9"/>
      <c r="D400" s="9"/>
      <c r="E400" s="9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"/>
      <c r="B401" s="9"/>
      <c r="C401" s="9"/>
      <c r="D401" s="9"/>
      <c r="E401" s="9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/>
      <c r="B402" s="9"/>
      <c r="C402" s="9"/>
      <c r="D402" s="9"/>
      <c r="E402" s="9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"/>
      <c r="B403" s="9"/>
      <c r="C403" s="9"/>
      <c r="D403" s="9"/>
      <c r="E403" s="9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/>
      <c r="B404" s="9"/>
      <c r="C404" s="9"/>
      <c r="D404" s="9"/>
      <c r="E404" s="9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"/>
      <c r="B405" s="9"/>
      <c r="C405" s="9"/>
      <c r="D405" s="9"/>
      <c r="E405" s="9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"/>
      <c r="B406" s="9"/>
      <c r="C406" s="9"/>
      <c r="D406" s="9"/>
      <c r="E406" s="9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"/>
      <c r="B407" s="9"/>
      <c r="C407" s="9"/>
      <c r="D407" s="9"/>
      <c r="E407" s="9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"/>
      <c r="B408" s="9"/>
      <c r="C408" s="9"/>
      <c r="D408" s="9"/>
      <c r="E408" s="9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"/>
      <c r="B409" s="9"/>
      <c r="C409" s="9"/>
      <c r="D409" s="9"/>
      <c r="E409" s="9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"/>
      <c r="B410" s="9"/>
      <c r="C410" s="9"/>
      <c r="D410" s="9"/>
      <c r="E410" s="9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9"/>
      <c r="B411" s="9"/>
      <c r="C411" s="9"/>
      <c r="D411" s="9"/>
      <c r="E411" s="9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/>
      <c r="B412" s="9"/>
      <c r="C412" s="9"/>
      <c r="D412" s="9"/>
      <c r="E412" s="9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"/>
      <c r="B413" s="9"/>
      <c r="C413" s="9"/>
      <c r="D413" s="9"/>
      <c r="E413" s="9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"/>
      <c r="B414" s="9"/>
      <c r="C414" s="9"/>
      <c r="D414" s="9"/>
      <c r="E414" s="9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9"/>
      <c r="B415" s="9"/>
      <c r="C415" s="9"/>
      <c r="D415" s="9"/>
      <c r="E415" s="9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9"/>
      <c r="B416" s="9"/>
      <c r="C416" s="9"/>
      <c r="D416" s="9"/>
      <c r="E416" s="9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"/>
      <c r="B417" s="9"/>
      <c r="C417" s="9"/>
      <c r="D417" s="9"/>
      <c r="E417" s="9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"/>
      <c r="B418" s="9"/>
      <c r="C418" s="9"/>
      <c r="D418" s="9"/>
      <c r="E418" s="9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"/>
      <c r="B419" s="9"/>
      <c r="C419" s="9"/>
      <c r="D419" s="9"/>
      <c r="E419" s="9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/>
      <c r="B420" s="9"/>
      <c r="C420" s="9"/>
      <c r="D420" s="9"/>
      <c r="E420" s="9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9"/>
      <c r="B421" s="9"/>
      <c r="C421" s="9"/>
      <c r="D421" s="9"/>
      <c r="E421" s="9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/>
      <c r="B422" s="9"/>
      <c r="C422" s="9"/>
      <c r="D422" s="9"/>
      <c r="E422" s="9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"/>
      <c r="B423" s="9"/>
      <c r="C423" s="9"/>
      <c r="D423" s="9"/>
      <c r="E423" s="9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/>
      <c r="B424" s="9"/>
      <c r="C424" s="9"/>
      <c r="D424" s="9"/>
      <c r="E424" s="9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"/>
      <c r="B425" s="9"/>
      <c r="C425" s="9"/>
      <c r="D425" s="9"/>
      <c r="E425" s="9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/>
      <c r="B426" s="9"/>
      <c r="C426" s="9"/>
      <c r="D426" s="9"/>
      <c r="E426" s="9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9"/>
      <c r="B427" s="9"/>
      <c r="C427" s="9"/>
      <c r="D427" s="9"/>
      <c r="E427" s="9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/>
      <c r="B428" s="9"/>
      <c r="C428" s="9"/>
      <c r="D428" s="9"/>
      <c r="E428" s="9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9"/>
      <c r="B429" s="9"/>
      <c r="C429" s="9"/>
      <c r="D429" s="9"/>
      <c r="E429" s="9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/>
      <c r="B430" s="9"/>
      <c r="C430" s="9"/>
      <c r="D430" s="9"/>
      <c r="E430" s="9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9"/>
      <c r="B431" s="9"/>
      <c r="C431" s="9"/>
      <c r="D431" s="9"/>
      <c r="E431" s="9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/>
      <c r="B432" s="9"/>
      <c r="C432" s="9"/>
      <c r="D432" s="9"/>
      <c r="E432" s="9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9"/>
      <c r="B433" s="9"/>
      <c r="C433" s="9"/>
      <c r="D433" s="9"/>
      <c r="E433" s="9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/>
      <c r="B434" s="9"/>
      <c r="C434" s="9"/>
      <c r="D434" s="9"/>
      <c r="E434" s="9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9"/>
      <c r="B435" s="9"/>
      <c r="C435" s="9"/>
      <c r="D435" s="9"/>
      <c r="E435" s="9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/>
      <c r="B436" s="9"/>
      <c r="C436" s="9"/>
      <c r="D436" s="9"/>
      <c r="E436" s="9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9"/>
      <c r="B437" s="9"/>
      <c r="C437" s="9"/>
      <c r="D437" s="9"/>
      <c r="E437" s="9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/>
      <c r="B438" s="9"/>
      <c r="C438" s="9"/>
      <c r="D438" s="9"/>
      <c r="E438" s="9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9"/>
      <c r="B439" s="9"/>
      <c r="C439" s="9"/>
      <c r="D439" s="9"/>
      <c r="E439" s="9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/>
      <c r="B440" s="9"/>
      <c r="C440" s="9"/>
      <c r="D440" s="9"/>
      <c r="E440" s="9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9"/>
      <c r="B441" s="9"/>
      <c r="C441" s="9"/>
      <c r="D441" s="9"/>
      <c r="E441" s="9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/>
      <c r="B442" s="9"/>
      <c r="C442" s="9"/>
      <c r="D442" s="9"/>
      <c r="E442" s="9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9"/>
      <c r="B443" s="9"/>
      <c r="C443" s="9"/>
      <c r="D443" s="9"/>
      <c r="E443" s="9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/>
      <c r="B444" s="9"/>
      <c r="C444" s="9"/>
      <c r="D444" s="9"/>
      <c r="E444" s="9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9"/>
      <c r="B445" s="9"/>
      <c r="C445" s="9"/>
      <c r="D445" s="9"/>
      <c r="E445" s="9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/>
      <c r="B446" s="9"/>
      <c r="C446" s="9"/>
      <c r="D446" s="9"/>
      <c r="E446" s="9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9"/>
      <c r="B447" s="9"/>
      <c r="C447" s="9"/>
      <c r="D447" s="9"/>
      <c r="E447" s="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/>
      <c r="B448" s="9"/>
      <c r="C448" s="9"/>
      <c r="D448" s="9"/>
      <c r="E448" s="9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9"/>
      <c r="B449" s="9"/>
      <c r="C449" s="9"/>
      <c r="D449" s="9"/>
      <c r="E449" s="9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/>
      <c r="B450" s="9"/>
      <c r="C450" s="9"/>
      <c r="D450" s="9"/>
      <c r="E450" s="9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9"/>
      <c r="B451" s="9"/>
      <c r="C451" s="9"/>
      <c r="D451" s="9"/>
      <c r="E451" s="9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/>
      <c r="B452" s="9"/>
      <c r="C452" s="9"/>
      <c r="D452" s="9"/>
      <c r="E452" s="9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9"/>
      <c r="B453" s="9"/>
      <c r="C453" s="9"/>
      <c r="D453" s="9"/>
      <c r="E453" s="9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/>
      <c r="B454" s="9"/>
      <c r="C454" s="9"/>
      <c r="D454" s="9"/>
      <c r="E454" s="9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9"/>
      <c r="B455" s="9"/>
      <c r="C455" s="9"/>
      <c r="D455" s="9"/>
      <c r="E455" s="9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/>
      <c r="B456" s="9"/>
      <c r="C456" s="9"/>
      <c r="D456" s="9"/>
      <c r="E456" s="9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9"/>
      <c r="B457" s="9"/>
      <c r="C457" s="9"/>
      <c r="D457" s="9"/>
      <c r="E457" s="9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/>
      <c r="B458" s="9"/>
      <c r="C458" s="9"/>
      <c r="D458" s="9"/>
      <c r="E458" s="9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9"/>
      <c r="B459" s="9"/>
      <c r="C459" s="9"/>
      <c r="D459" s="9"/>
      <c r="E459" s="9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/>
      <c r="B460" s="9"/>
      <c r="C460" s="9"/>
      <c r="D460" s="9"/>
      <c r="E460" s="9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9"/>
      <c r="B461" s="9"/>
      <c r="C461" s="9"/>
      <c r="D461" s="9"/>
      <c r="E461" s="9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/>
      <c r="B462" s="9"/>
      <c r="C462" s="9"/>
      <c r="D462" s="9"/>
      <c r="E462" s="9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9"/>
      <c r="B463" s="9"/>
      <c r="C463" s="9"/>
      <c r="D463" s="9"/>
      <c r="E463" s="9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/>
      <c r="B464" s="9"/>
      <c r="C464" s="9"/>
      <c r="D464" s="9"/>
      <c r="E464" s="9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9"/>
      <c r="B465" s="9"/>
      <c r="C465" s="9"/>
      <c r="D465" s="9"/>
      <c r="E465" s="9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/>
      <c r="B466" s="9"/>
      <c r="C466" s="9"/>
      <c r="D466" s="9"/>
      <c r="E466" s="9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9"/>
      <c r="B467" s="9"/>
      <c r="C467" s="9"/>
      <c r="D467" s="9"/>
      <c r="E467" s="9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/>
      <c r="B468" s="9"/>
      <c r="C468" s="9"/>
      <c r="D468" s="9"/>
      <c r="E468" s="9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9"/>
      <c r="B469" s="9"/>
      <c r="C469" s="9"/>
      <c r="D469" s="9"/>
      <c r="E469" s="9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/>
      <c r="B470" s="9"/>
      <c r="C470" s="9"/>
      <c r="D470" s="9"/>
      <c r="E470" s="9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9"/>
      <c r="B471" s="9"/>
      <c r="C471" s="9"/>
      <c r="D471" s="9"/>
      <c r="E471" s="9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/>
      <c r="B472" s="9"/>
      <c r="C472" s="9"/>
      <c r="D472" s="9"/>
      <c r="E472" s="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9"/>
      <c r="B473" s="9"/>
      <c r="C473" s="9"/>
      <c r="D473" s="9"/>
      <c r="E473" s="9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/>
      <c r="B474" s="9"/>
      <c r="C474" s="9"/>
      <c r="D474" s="9"/>
      <c r="E474" s="9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9"/>
      <c r="B475" s="9"/>
      <c r="C475" s="9"/>
      <c r="D475" s="9"/>
      <c r="E475" s="9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/>
      <c r="B476" s="9"/>
      <c r="C476" s="9"/>
      <c r="D476" s="9"/>
      <c r="E476" s="9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9"/>
      <c r="B477" s="9"/>
      <c r="C477" s="9"/>
      <c r="D477" s="9"/>
      <c r="E477" s="9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/>
      <c r="B478" s="9"/>
      <c r="C478" s="9"/>
      <c r="D478" s="9"/>
      <c r="E478" s="9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9"/>
      <c r="B479" s="9"/>
      <c r="C479" s="9"/>
      <c r="D479" s="9"/>
      <c r="E479" s="9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/>
      <c r="B480" s="9"/>
      <c r="C480" s="9"/>
      <c r="D480" s="9"/>
      <c r="E480" s="9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9"/>
      <c r="B481" s="9"/>
      <c r="C481" s="9"/>
      <c r="D481" s="9"/>
      <c r="E481" s="9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/>
      <c r="B482" s="9"/>
      <c r="C482" s="9"/>
      <c r="D482" s="9"/>
      <c r="E482" s="9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9"/>
      <c r="B483" s="9"/>
      <c r="C483" s="9"/>
      <c r="D483" s="9"/>
      <c r="E483" s="9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/>
      <c r="B484" s="9"/>
      <c r="C484" s="9"/>
      <c r="D484" s="9"/>
      <c r="E484" s="9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9"/>
      <c r="B485" s="9"/>
      <c r="C485" s="9"/>
      <c r="D485" s="9"/>
      <c r="E485" s="9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/>
      <c r="B486" s="9"/>
      <c r="C486" s="9"/>
      <c r="D486" s="9"/>
      <c r="E486" s="9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9"/>
      <c r="B487" s="9"/>
      <c r="C487" s="9"/>
      <c r="D487" s="9"/>
      <c r="E487" s="9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/>
      <c r="B488" s="9"/>
      <c r="C488" s="9"/>
      <c r="D488" s="9"/>
      <c r="E488" s="9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9"/>
      <c r="B489" s="9"/>
      <c r="C489" s="9"/>
      <c r="D489" s="9"/>
      <c r="E489" s="9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/>
      <c r="B490" s="9"/>
      <c r="C490" s="9"/>
      <c r="D490" s="9"/>
      <c r="E490" s="9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9"/>
      <c r="B491" s="9"/>
      <c r="C491" s="9"/>
      <c r="D491" s="9"/>
      <c r="E491" s="9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9"/>
      <c r="B492" s="9"/>
      <c r="C492" s="9"/>
      <c r="D492" s="9"/>
      <c r="E492" s="9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9"/>
      <c r="B493" s="9"/>
      <c r="C493" s="9"/>
      <c r="D493" s="9"/>
      <c r="E493" s="9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9"/>
      <c r="B494" s="9"/>
      <c r="C494" s="9"/>
      <c r="D494" s="9"/>
      <c r="E494" s="9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9"/>
      <c r="B495" s="9"/>
      <c r="C495" s="9"/>
      <c r="D495" s="9"/>
      <c r="E495" s="9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/>
      <c r="B496" s="9"/>
      <c r="C496" s="9"/>
      <c r="D496" s="9"/>
      <c r="E496" s="9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9"/>
      <c r="B497" s="9"/>
      <c r="C497" s="9"/>
      <c r="D497" s="9"/>
      <c r="E497" s="9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/>
      <c r="B498" s="9"/>
      <c r="C498" s="9"/>
      <c r="D498" s="9"/>
      <c r="E498" s="9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9"/>
      <c r="B499" s="9"/>
      <c r="C499" s="9"/>
      <c r="D499" s="9"/>
      <c r="E499" s="9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9"/>
      <c r="B500" s="9"/>
      <c r="C500" s="9"/>
      <c r="D500" s="9"/>
      <c r="E500" s="9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9"/>
      <c r="B501" s="9"/>
      <c r="C501" s="9"/>
      <c r="D501" s="9"/>
      <c r="E501" s="9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/>
      <c r="B502" s="9"/>
      <c r="C502" s="9"/>
      <c r="D502" s="9"/>
      <c r="E502" s="9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9"/>
      <c r="B503" s="9"/>
      <c r="C503" s="9"/>
      <c r="D503" s="9"/>
      <c r="E503" s="9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/>
      <c r="B504" s="9"/>
      <c r="C504" s="9"/>
      <c r="D504" s="9"/>
      <c r="E504" s="9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9"/>
      <c r="B505" s="9"/>
      <c r="C505" s="9"/>
      <c r="D505" s="9"/>
      <c r="E505" s="9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9"/>
      <c r="B506" s="9"/>
      <c r="C506" s="9"/>
      <c r="D506" s="9"/>
      <c r="E506" s="9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9"/>
      <c r="B507" s="9"/>
      <c r="C507" s="9"/>
      <c r="D507" s="9"/>
      <c r="E507" s="9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9"/>
      <c r="B508" s="9"/>
      <c r="C508" s="9"/>
      <c r="D508" s="9"/>
      <c r="E508" s="9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9"/>
      <c r="B509" s="9"/>
      <c r="C509" s="9"/>
      <c r="D509" s="9"/>
      <c r="E509" s="9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9"/>
      <c r="B510" s="9"/>
      <c r="C510" s="9"/>
      <c r="D510" s="9"/>
      <c r="E510" s="9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9"/>
      <c r="B511" s="9"/>
      <c r="C511" s="9"/>
      <c r="D511" s="9"/>
      <c r="E511" s="9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/>
      <c r="B512" s="9"/>
      <c r="C512" s="9"/>
      <c r="D512" s="9"/>
      <c r="E512" s="9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"/>
      <c r="B513" s="9"/>
      <c r="C513" s="9"/>
      <c r="D513" s="9"/>
      <c r="E513" s="9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/>
      <c r="B514" s="9"/>
      <c r="C514" s="9"/>
      <c r="D514" s="9"/>
      <c r="E514" s="9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"/>
      <c r="B515" s="9"/>
      <c r="C515" s="9"/>
      <c r="D515" s="9"/>
      <c r="E515" s="9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/>
      <c r="B516" s="9"/>
      <c r="C516" s="9"/>
      <c r="D516" s="9"/>
      <c r="E516" s="9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9"/>
      <c r="B517" s="9"/>
      <c r="C517" s="9"/>
      <c r="D517" s="9"/>
      <c r="E517" s="9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/>
      <c r="B518" s="9"/>
      <c r="C518" s="9"/>
      <c r="D518" s="9"/>
      <c r="E518" s="9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"/>
      <c r="B519" s="9"/>
      <c r="C519" s="9"/>
      <c r="D519" s="9"/>
      <c r="E519" s="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/>
      <c r="B520" s="9"/>
      <c r="C520" s="9"/>
      <c r="D520" s="9"/>
      <c r="E520" s="9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"/>
      <c r="B521" s="9"/>
      <c r="C521" s="9"/>
      <c r="D521" s="9"/>
      <c r="E521" s="9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/>
      <c r="B522" s="9"/>
      <c r="C522" s="9"/>
      <c r="D522" s="9"/>
      <c r="E522" s="9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9"/>
      <c r="B523" s="9"/>
      <c r="C523" s="9"/>
      <c r="D523" s="9"/>
      <c r="E523" s="9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9"/>
      <c r="B524" s="9"/>
      <c r="C524" s="9"/>
      <c r="D524" s="9"/>
      <c r="E524" s="9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"/>
      <c r="B525" s="9"/>
      <c r="C525" s="9"/>
      <c r="D525" s="9"/>
      <c r="E525" s="9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"/>
      <c r="B526" s="9"/>
      <c r="C526" s="9"/>
      <c r="D526" s="9"/>
      <c r="E526" s="9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"/>
      <c r="B527" s="9"/>
      <c r="C527" s="9"/>
      <c r="D527" s="9"/>
      <c r="E527" s="9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/>
      <c r="B528" s="9"/>
      <c r="C528" s="9"/>
      <c r="D528" s="9"/>
      <c r="E528" s="9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9"/>
      <c r="B529" s="9"/>
      <c r="C529" s="9"/>
      <c r="D529" s="9"/>
      <c r="E529" s="9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/>
      <c r="B530" s="9"/>
      <c r="C530" s="9"/>
      <c r="D530" s="9"/>
      <c r="E530" s="9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9"/>
      <c r="B531" s="9"/>
      <c r="C531" s="9"/>
      <c r="D531" s="9"/>
      <c r="E531" s="9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/>
      <c r="B532" s="9"/>
      <c r="C532" s="9"/>
      <c r="D532" s="9"/>
      <c r="E532" s="9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9"/>
      <c r="B533" s="9"/>
      <c r="C533" s="9"/>
      <c r="D533" s="9"/>
      <c r="E533" s="9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/>
      <c r="B534" s="9"/>
      <c r="C534" s="9"/>
      <c r="D534" s="9"/>
      <c r="E534" s="9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9"/>
      <c r="B535" s="9"/>
      <c r="C535" s="9"/>
      <c r="D535" s="9"/>
      <c r="E535" s="9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/>
      <c r="B536" s="9"/>
      <c r="C536" s="9"/>
      <c r="D536" s="9"/>
      <c r="E536" s="9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9"/>
      <c r="B537" s="9"/>
      <c r="C537" s="9"/>
      <c r="D537" s="9"/>
      <c r="E537" s="9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9"/>
      <c r="B538" s="9"/>
      <c r="C538" s="9"/>
      <c r="D538" s="9"/>
      <c r="E538" s="9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9"/>
      <c r="B539" s="9"/>
      <c r="C539" s="9"/>
      <c r="D539" s="9"/>
      <c r="E539" s="9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9"/>
      <c r="B540" s="9"/>
      <c r="C540" s="9"/>
      <c r="D540" s="9"/>
      <c r="E540" s="9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9"/>
      <c r="B541" s="9"/>
      <c r="C541" s="9"/>
      <c r="D541" s="9"/>
      <c r="E541" s="9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9"/>
      <c r="B542" s="9"/>
      <c r="C542" s="9"/>
      <c r="D542" s="9"/>
      <c r="E542" s="9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9"/>
      <c r="B543" s="9"/>
      <c r="C543" s="9"/>
      <c r="D543" s="9"/>
      <c r="E543" s="9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/>
      <c r="B544" s="9"/>
      <c r="C544" s="9"/>
      <c r="D544" s="9"/>
      <c r="E544" s="9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9"/>
      <c r="B545" s="9"/>
      <c r="C545" s="9"/>
      <c r="D545" s="9"/>
      <c r="E545" s="9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9"/>
      <c r="B546" s="9"/>
      <c r="C546" s="9"/>
      <c r="D546" s="9"/>
      <c r="E546" s="9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9"/>
      <c r="B547" s="9"/>
      <c r="C547" s="9"/>
      <c r="D547" s="9"/>
      <c r="E547" s="9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/>
      <c r="B548" s="9"/>
      <c r="C548" s="9"/>
      <c r="D548" s="9"/>
      <c r="E548" s="9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9"/>
      <c r="B549" s="9"/>
      <c r="C549" s="9"/>
      <c r="D549" s="9"/>
      <c r="E549" s="9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/>
      <c r="B550" s="9"/>
      <c r="C550" s="9"/>
      <c r="D550" s="9"/>
      <c r="E550" s="9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9"/>
      <c r="B551" s="9"/>
      <c r="C551" s="9"/>
      <c r="D551" s="9"/>
      <c r="E551" s="9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9"/>
      <c r="B552" s="9"/>
      <c r="C552" s="9"/>
      <c r="D552" s="9"/>
      <c r="E552" s="9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9"/>
      <c r="B553" s="9"/>
      <c r="C553" s="9"/>
      <c r="D553" s="9"/>
      <c r="E553" s="9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/>
      <c r="B554" s="9"/>
      <c r="C554" s="9"/>
      <c r="D554" s="9"/>
      <c r="E554" s="9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9"/>
      <c r="B555" s="9"/>
      <c r="C555" s="9"/>
      <c r="D555" s="9"/>
      <c r="E555" s="9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/>
      <c r="B556" s="9"/>
      <c r="C556" s="9"/>
      <c r="D556" s="9"/>
      <c r="E556" s="9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9"/>
      <c r="B557" s="9"/>
      <c r="C557" s="9"/>
      <c r="D557" s="9"/>
      <c r="E557" s="9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/>
      <c r="B558" s="9"/>
      <c r="C558" s="9"/>
      <c r="D558" s="9"/>
      <c r="E558" s="9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9"/>
      <c r="B559" s="9"/>
      <c r="C559" s="9"/>
      <c r="D559" s="9"/>
      <c r="E559" s="9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/>
      <c r="B560" s="9"/>
      <c r="C560" s="9"/>
      <c r="D560" s="9"/>
      <c r="E560" s="9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9"/>
      <c r="B561" s="9"/>
      <c r="C561" s="9"/>
      <c r="D561" s="9"/>
      <c r="E561" s="9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9"/>
      <c r="B562" s="9"/>
      <c r="C562" s="9"/>
      <c r="D562" s="9"/>
      <c r="E562" s="9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9"/>
      <c r="B563" s="9"/>
      <c r="C563" s="9"/>
      <c r="D563" s="9"/>
      <c r="E563" s="9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/>
      <c r="B564" s="9"/>
      <c r="C564" s="9"/>
      <c r="D564" s="9"/>
      <c r="E564" s="9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9"/>
      <c r="B565" s="9"/>
      <c r="C565" s="9"/>
      <c r="D565" s="9"/>
      <c r="E565" s="9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9"/>
      <c r="B566" s="9"/>
      <c r="C566" s="9"/>
      <c r="D566" s="9"/>
      <c r="E566" s="9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9"/>
      <c r="B567" s="9"/>
      <c r="C567" s="9"/>
      <c r="D567" s="9"/>
      <c r="E567" s="9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/>
      <c r="B568" s="9"/>
      <c r="C568" s="9"/>
      <c r="D568" s="9"/>
      <c r="E568" s="9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9"/>
      <c r="B569" s="9"/>
      <c r="C569" s="9"/>
      <c r="D569" s="9"/>
      <c r="E569" s="9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/>
      <c r="B570" s="9"/>
      <c r="C570" s="9"/>
      <c r="D570" s="9"/>
      <c r="E570" s="9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9"/>
      <c r="B571" s="9"/>
      <c r="C571" s="9"/>
      <c r="D571" s="9"/>
      <c r="E571" s="9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/>
      <c r="B572" s="9"/>
      <c r="C572" s="9"/>
      <c r="D572" s="9"/>
      <c r="E572" s="9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9"/>
      <c r="B573" s="9"/>
      <c r="C573" s="9"/>
      <c r="D573" s="9"/>
      <c r="E573" s="9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/>
      <c r="B574" s="9"/>
      <c r="C574" s="9"/>
      <c r="D574" s="9"/>
      <c r="E574" s="9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9"/>
      <c r="B575" s="9"/>
      <c r="C575" s="9"/>
      <c r="D575" s="9"/>
      <c r="E575" s="9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/>
      <c r="B576" s="9"/>
      <c r="C576" s="9"/>
      <c r="D576" s="9"/>
      <c r="E576" s="9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9"/>
      <c r="B577" s="9"/>
      <c r="C577" s="9"/>
      <c r="D577" s="9"/>
      <c r="E577" s="9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/>
      <c r="B578" s="9"/>
      <c r="C578" s="9"/>
      <c r="D578" s="9"/>
      <c r="E578" s="9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9"/>
      <c r="B579" s="9"/>
      <c r="C579" s="9"/>
      <c r="D579" s="9"/>
      <c r="E579" s="9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/>
      <c r="B580" s="9"/>
      <c r="C580" s="9"/>
      <c r="D580" s="9"/>
      <c r="E580" s="9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9"/>
      <c r="B581" s="9"/>
      <c r="C581" s="9"/>
      <c r="D581" s="9"/>
      <c r="E581" s="9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/>
      <c r="B582" s="9"/>
      <c r="C582" s="9"/>
      <c r="D582" s="9"/>
      <c r="E582" s="9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9"/>
      <c r="B583" s="9"/>
      <c r="C583" s="9"/>
      <c r="D583" s="9"/>
      <c r="E583" s="9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/>
      <c r="B584" s="9"/>
      <c r="C584" s="9"/>
      <c r="D584" s="9"/>
      <c r="E584" s="9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9"/>
      <c r="B585" s="9"/>
      <c r="C585" s="9"/>
      <c r="D585" s="9"/>
      <c r="E585" s="9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/>
      <c r="B586" s="9"/>
      <c r="C586" s="9"/>
      <c r="D586" s="9"/>
      <c r="E586" s="9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9"/>
      <c r="B587" s="9"/>
      <c r="C587" s="9"/>
      <c r="D587" s="9"/>
      <c r="E587" s="9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/>
      <c r="B588" s="9"/>
      <c r="C588" s="9"/>
      <c r="D588" s="9"/>
      <c r="E588" s="9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9"/>
      <c r="B589" s="9"/>
      <c r="C589" s="9"/>
      <c r="D589" s="9"/>
      <c r="E589" s="9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/>
      <c r="B590" s="9"/>
      <c r="C590" s="9"/>
      <c r="D590" s="9"/>
      <c r="E590" s="9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9"/>
      <c r="B591" s="9"/>
      <c r="C591" s="9"/>
      <c r="D591" s="9"/>
      <c r="E591" s="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/>
      <c r="B592" s="9"/>
      <c r="C592" s="9"/>
      <c r="D592" s="9"/>
      <c r="E592" s="9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9"/>
      <c r="B593" s="9"/>
      <c r="C593" s="9"/>
      <c r="D593" s="9"/>
      <c r="E593" s="9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9"/>
      <c r="B594" s="9"/>
      <c r="C594" s="9"/>
      <c r="D594" s="9"/>
      <c r="E594" s="9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9"/>
      <c r="B595" s="9"/>
      <c r="C595" s="9"/>
      <c r="D595" s="9"/>
      <c r="E595" s="9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9"/>
      <c r="B596" s="9"/>
      <c r="C596" s="9"/>
      <c r="D596" s="9"/>
      <c r="E596" s="9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9"/>
      <c r="B597" s="9"/>
      <c r="C597" s="9"/>
      <c r="D597" s="9"/>
      <c r="E597" s="9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/>
      <c r="B598" s="9"/>
      <c r="C598" s="9"/>
      <c r="D598" s="9"/>
      <c r="E598" s="9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9"/>
      <c r="B599" s="9"/>
      <c r="C599" s="9"/>
      <c r="D599" s="9"/>
      <c r="E599" s="9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9"/>
      <c r="B600" s="9"/>
      <c r="C600" s="9"/>
      <c r="D600" s="9"/>
      <c r="E600" s="9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9"/>
      <c r="B601" s="9"/>
      <c r="C601" s="9"/>
      <c r="D601" s="9"/>
      <c r="E601" s="9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9"/>
      <c r="B602" s="9"/>
      <c r="C602" s="9"/>
      <c r="D602" s="9"/>
      <c r="E602" s="9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9"/>
      <c r="B603" s="9"/>
      <c r="C603" s="9"/>
      <c r="D603" s="9"/>
      <c r="E603" s="9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9"/>
      <c r="B604" s="9"/>
      <c r="C604" s="9"/>
      <c r="D604" s="9"/>
      <c r="E604" s="9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9"/>
      <c r="B605" s="9"/>
      <c r="C605" s="9"/>
      <c r="D605" s="9"/>
      <c r="E605" s="9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9"/>
      <c r="B606" s="9"/>
      <c r="C606" s="9"/>
      <c r="D606" s="9"/>
      <c r="E606" s="9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9"/>
      <c r="B607" s="9"/>
      <c r="C607" s="9"/>
      <c r="D607" s="9"/>
      <c r="E607" s="9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/>
      <c r="B608" s="9"/>
      <c r="C608" s="9"/>
      <c r="D608" s="9"/>
      <c r="E608" s="9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9"/>
      <c r="B609" s="9"/>
      <c r="C609" s="9"/>
      <c r="D609" s="9"/>
      <c r="E609" s="9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/>
      <c r="B610" s="9"/>
      <c r="C610" s="9"/>
      <c r="D610" s="9"/>
      <c r="E610" s="9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9"/>
      <c r="B611" s="9"/>
      <c r="C611" s="9"/>
      <c r="D611" s="9"/>
      <c r="E611" s="9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/>
      <c r="B612" s="9"/>
      <c r="C612" s="9"/>
      <c r="D612" s="9"/>
      <c r="E612" s="9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9"/>
      <c r="B613" s="9"/>
      <c r="C613" s="9"/>
      <c r="D613" s="9"/>
      <c r="E613" s="9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/>
      <c r="B614" s="9"/>
      <c r="C614" s="9"/>
      <c r="D614" s="9"/>
      <c r="E614" s="9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9"/>
      <c r="B615" s="9"/>
      <c r="C615" s="9"/>
      <c r="D615" s="9"/>
      <c r="E615" s="9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/>
      <c r="B616" s="9"/>
      <c r="C616" s="9"/>
      <c r="D616" s="9"/>
      <c r="E616" s="9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9"/>
      <c r="B617" s="9"/>
      <c r="C617" s="9"/>
      <c r="D617" s="9"/>
      <c r="E617" s="9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/>
      <c r="B618" s="9"/>
      <c r="C618" s="9"/>
      <c r="D618" s="9"/>
      <c r="E618" s="9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9"/>
      <c r="B619" s="9"/>
      <c r="C619" s="9"/>
      <c r="D619" s="9"/>
      <c r="E619" s="9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/>
      <c r="B620" s="9"/>
      <c r="C620" s="9"/>
      <c r="D620" s="9"/>
      <c r="E620" s="9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9"/>
      <c r="B621" s="9"/>
      <c r="C621" s="9"/>
      <c r="D621" s="9"/>
      <c r="E621" s="9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/>
      <c r="B622" s="9"/>
      <c r="C622" s="9"/>
      <c r="D622" s="9"/>
      <c r="E622" s="9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9"/>
      <c r="B623" s="9"/>
      <c r="C623" s="9"/>
      <c r="D623" s="9"/>
      <c r="E623" s="9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/>
      <c r="B624" s="9"/>
      <c r="C624" s="9"/>
      <c r="D624" s="9"/>
      <c r="E624" s="9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9"/>
      <c r="B625" s="9"/>
      <c r="C625" s="9"/>
      <c r="D625" s="9"/>
      <c r="E625" s="9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/>
      <c r="B626" s="9"/>
      <c r="C626" s="9"/>
      <c r="D626" s="9"/>
      <c r="E626" s="9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9"/>
      <c r="B627" s="9"/>
      <c r="C627" s="9"/>
      <c r="D627" s="9"/>
      <c r="E627" s="9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/>
      <c r="B628" s="9"/>
      <c r="C628" s="9"/>
      <c r="D628" s="9"/>
      <c r="E628" s="9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9"/>
      <c r="B629" s="9"/>
      <c r="C629" s="9"/>
      <c r="D629" s="9"/>
      <c r="E629" s="9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/>
      <c r="B630" s="9"/>
      <c r="C630" s="9"/>
      <c r="D630" s="9"/>
      <c r="E630" s="9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9"/>
      <c r="B631" s="9"/>
      <c r="C631" s="9"/>
      <c r="D631" s="9"/>
      <c r="E631" s="9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/>
      <c r="B632" s="9"/>
      <c r="C632" s="9"/>
      <c r="D632" s="9"/>
      <c r="E632" s="9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9"/>
      <c r="B633" s="9"/>
      <c r="C633" s="9"/>
      <c r="D633" s="9"/>
      <c r="E633" s="9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/>
      <c r="B634" s="9"/>
      <c r="C634" s="9"/>
      <c r="D634" s="9"/>
      <c r="E634" s="9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9"/>
      <c r="B635" s="9"/>
      <c r="C635" s="9"/>
      <c r="D635" s="9"/>
      <c r="E635" s="9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/>
      <c r="B636" s="9"/>
      <c r="C636" s="9"/>
      <c r="D636" s="9"/>
      <c r="E636" s="9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9"/>
      <c r="B637" s="9"/>
      <c r="C637" s="9"/>
      <c r="D637" s="9"/>
      <c r="E637" s="9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9"/>
      <c r="B638" s="9"/>
      <c r="C638" s="9"/>
      <c r="D638" s="9"/>
      <c r="E638" s="9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9"/>
      <c r="B639" s="9"/>
      <c r="C639" s="9"/>
      <c r="D639" s="9"/>
      <c r="E639" s="9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9"/>
      <c r="B640" s="9"/>
      <c r="C640" s="9"/>
      <c r="D640" s="9"/>
      <c r="E640" s="9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9"/>
      <c r="B641" s="9"/>
      <c r="C641" s="9"/>
      <c r="D641" s="9"/>
      <c r="E641" s="9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/>
      <c r="B642" s="9"/>
      <c r="C642" s="9"/>
      <c r="D642" s="9"/>
      <c r="E642" s="9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9"/>
      <c r="B643" s="9"/>
      <c r="C643" s="9"/>
      <c r="D643" s="9"/>
      <c r="E643" s="9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/>
      <c r="B644" s="9"/>
      <c r="C644" s="9"/>
      <c r="D644" s="9"/>
      <c r="E644" s="9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9"/>
      <c r="B645" s="9"/>
      <c r="C645" s="9"/>
      <c r="D645" s="9"/>
      <c r="E645" s="9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/>
      <c r="B646" s="9"/>
      <c r="C646" s="9"/>
      <c r="D646" s="9"/>
      <c r="E646" s="9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9"/>
      <c r="B647" s="9"/>
      <c r="C647" s="9"/>
      <c r="D647" s="9"/>
      <c r="E647" s="9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/>
      <c r="B648" s="9"/>
      <c r="C648" s="9"/>
      <c r="D648" s="9"/>
      <c r="E648" s="9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9"/>
      <c r="B649" s="9"/>
      <c r="C649" s="9"/>
      <c r="D649" s="9"/>
      <c r="E649" s="9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/>
      <c r="B650" s="9"/>
      <c r="C650" s="9"/>
      <c r="D650" s="9"/>
      <c r="E650" s="9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9"/>
      <c r="B651" s="9"/>
      <c r="C651" s="9"/>
      <c r="D651" s="9"/>
      <c r="E651" s="9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/>
      <c r="B652" s="9"/>
      <c r="C652" s="9"/>
      <c r="D652" s="9"/>
      <c r="E652" s="9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9"/>
      <c r="B653" s="9"/>
      <c r="C653" s="9"/>
      <c r="D653" s="9"/>
      <c r="E653" s="9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/>
      <c r="B654" s="9"/>
      <c r="C654" s="9"/>
      <c r="D654" s="9"/>
      <c r="E654" s="9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9"/>
      <c r="B655" s="9"/>
      <c r="C655" s="9"/>
      <c r="D655" s="9"/>
      <c r="E655" s="9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9"/>
      <c r="B656" s="9"/>
      <c r="C656" s="9"/>
      <c r="D656" s="9"/>
      <c r="E656" s="9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9"/>
      <c r="B657" s="9"/>
      <c r="C657" s="9"/>
      <c r="D657" s="9"/>
      <c r="E657" s="9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/>
      <c r="B658" s="9"/>
      <c r="C658" s="9"/>
      <c r="D658" s="9"/>
      <c r="E658" s="9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9"/>
      <c r="B659" s="9"/>
      <c r="C659" s="9"/>
      <c r="D659" s="9"/>
      <c r="E659" s="9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/>
      <c r="B660" s="9"/>
      <c r="C660" s="9"/>
      <c r="D660" s="9"/>
      <c r="E660" s="9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9"/>
      <c r="B661" s="9"/>
      <c r="C661" s="9"/>
      <c r="D661" s="9"/>
      <c r="E661" s="9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/>
      <c r="B662" s="9"/>
      <c r="C662" s="9"/>
      <c r="D662" s="9"/>
      <c r="E662" s="9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9"/>
      <c r="B663" s="9"/>
      <c r="C663" s="9"/>
      <c r="D663" s="9"/>
      <c r="E663" s="9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/>
      <c r="B664" s="9"/>
      <c r="C664" s="9"/>
      <c r="D664" s="9"/>
      <c r="E664" s="9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9"/>
      <c r="B665" s="9"/>
      <c r="C665" s="9"/>
      <c r="D665" s="9"/>
      <c r="E665" s="9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/>
      <c r="B666" s="9"/>
      <c r="C666" s="9"/>
      <c r="D666" s="9"/>
      <c r="E666" s="9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9"/>
      <c r="B667" s="9"/>
      <c r="C667" s="9"/>
      <c r="D667" s="9"/>
      <c r="E667" s="9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/>
      <c r="B668" s="9"/>
      <c r="C668" s="9"/>
      <c r="D668" s="9"/>
      <c r="E668" s="9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9"/>
      <c r="B669" s="9"/>
      <c r="C669" s="9"/>
      <c r="D669" s="9"/>
      <c r="E669" s="9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/>
      <c r="B670" s="9"/>
      <c r="C670" s="9"/>
      <c r="D670" s="9"/>
      <c r="E670" s="9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9"/>
      <c r="B671" s="9"/>
      <c r="C671" s="9"/>
      <c r="D671" s="9"/>
      <c r="E671" s="9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/>
      <c r="B672" s="9"/>
      <c r="C672" s="9"/>
      <c r="D672" s="9"/>
      <c r="E672" s="9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9"/>
      <c r="B673" s="9"/>
      <c r="C673" s="9"/>
      <c r="D673" s="9"/>
      <c r="E673" s="9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/>
      <c r="B674" s="9"/>
      <c r="C674" s="9"/>
      <c r="D674" s="9"/>
      <c r="E674" s="9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9"/>
      <c r="B675" s="9"/>
      <c r="C675" s="9"/>
      <c r="D675" s="9"/>
      <c r="E675" s="9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/>
      <c r="B676" s="9"/>
      <c r="C676" s="9"/>
      <c r="D676" s="9"/>
      <c r="E676" s="9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9"/>
      <c r="B677" s="9"/>
      <c r="C677" s="9"/>
      <c r="D677" s="9"/>
      <c r="E677" s="9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/>
      <c r="B678" s="9"/>
      <c r="C678" s="9"/>
      <c r="D678" s="9"/>
      <c r="E678" s="9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9"/>
      <c r="B679" s="9"/>
      <c r="C679" s="9"/>
      <c r="D679" s="9"/>
      <c r="E679" s="9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/>
      <c r="B680" s="9"/>
      <c r="C680" s="9"/>
      <c r="D680" s="9"/>
      <c r="E680" s="9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9"/>
      <c r="B681" s="9"/>
      <c r="C681" s="9"/>
      <c r="D681" s="9"/>
      <c r="E681" s="9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/>
      <c r="B682" s="9"/>
      <c r="C682" s="9"/>
      <c r="D682" s="9"/>
      <c r="E682" s="9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9"/>
      <c r="B683" s="9"/>
      <c r="C683" s="9"/>
      <c r="D683" s="9"/>
      <c r="E683" s="9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/>
      <c r="B684" s="9"/>
      <c r="C684" s="9"/>
      <c r="D684" s="9"/>
      <c r="E684" s="9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9"/>
      <c r="B685" s="9"/>
      <c r="C685" s="9"/>
      <c r="D685" s="9"/>
      <c r="E685" s="9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/>
      <c r="B686" s="9"/>
      <c r="C686" s="9"/>
      <c r="D686" s="9"/>
      <c r="E686" s="9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9"/>
      <c r="B687" s="9"/>
      <c r="C687" s="9"/>
      <c r="D687" s="9"/>
      <c r="E687" s="9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/>
      <c r="B688" s="9"/>
      <c r="C688" s="9"/>
      <c r="D688" s="9"/>
      <c r="E688" s="9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9"/>
      <c r="B689" s="9"/>
      <c r="C689" s="9"/>
      <c r="D689" s="9"/>
      <c r="E689" s="9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/>
      <c r="B690" s="9"/>
      <c r="C690" s="9"/>
      <c r="D690" s="9"/>
      <c r="E690" s="9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9"/>
      <c r="B691" s="9"/>
      <c r="C691" s="9"/>
      <c r="D691" s="9"/>
      <c r="E691" s="9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/>
      <c r="B692" s="9"/>
      <c r="C692" s="9"/>
      <c r="D692" s="9"/>
      <c r="E692" s="9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9"/>
      <c r="B693" s="9"/>
      <c r="C693" s="9"/>
      <c r="D693" s="9"/>
      <c r="E693" s="9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/>
      <c r="B694" s="9"/>
      <c r="C694" s="9"/>
      <c r="D694" s="9"/>
      <c r="E694" s="9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9"/>
      <c r="B695" s="9"/>
      <c r="C695" s="9"/>
      <c r="D695" s="9"/>
      <c r="E695" s="9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/>
      <c r="B696" s="9"/>
      <c r="C696" s="9"/>
      <c r="D696" s="9"/>
      <c r="E696" s="9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9"/>
      <c r="B697" s="9"/>
      <c r="C697" s="9"/>
      <c r="D697" s="9"/>
      <c r="E697" s="9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/>
      <c r="B698" s="9"/>
      <c r="C698" s="9"/>
      <c r="D698" s="9"/>
      <c r="E698" s="9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9"/>
      <c r="B699" s="9"/>
      <c r="C699" s="9"/>
      <c r="D699" s="9"/>
      <c r="E699" s="9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/>
      <c r="B700" s="9"/>
      <c r="C700" s="9"/>
      <c r="D700" s="9"/>
      <c r="E700" s="9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9"/>
      <c r="B701" s="9"/>
      <c r="C701" s="9"/>
      <c r="D701" s="9"/>
      <c r="E701" s="9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/>
      <c r="B702" s="9"/>
      <c r="C702" s="9"/>
      <c r="D702" s="9"/>
      <c r="E702" s="9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9"/>
      <c r="B703" s="9"/>
      <c r="C703" s="9"/>
      <c r="D703" s="9"/>
      <c r="E703" s="9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/>
      <c r="B704" s="9"/>
      <c r="C704" s="9"/>
      <c r="D704" s="9"/>
      <c r="E704" s="9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9"/>
      <c r="B705" s="9"/>
      <c r="C705" s="9"/>
      <c r="D705" s="9"/>
      <c r="E705" s="9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/>
      <c r="B706" s="9"/>
      <c r="C706" s="9"/>
      <c r="D706" s="9"/>
      <c r="E706" s="9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9"/>
      <c r="B707" s="9"/>
      <c r="C707" s="9"/>
      <c r="D707" s="9"/>
      <c r="E707" s="9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/>
      <c r="B708" s="9"/>
      <c r="C708" s="9"/>
      <c r="D708" s="9"/>
      <c r="E708" s="9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9"/>
      <c r="B709" s="9"/>
      <c r="C709" s="9"/>
      <c r="D709" s="9"/>
      <c r="E709" s="9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/>
      <c r="B710" s="9"/>
      <c r="C710" s="9"/>
      <c r="D710" s="9"/>
      <c r="E710" s="9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9"/>
      <c r="B711" s="9"/>
      <c r="C711" s="9"/>
      <c r="D711" s="9"/>
      <c r="E711" s="9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/>
      <c r="B712" s="9"/>
      <c r="C712" s="9"/>
      <c r="D712" s="9"/>
      <c r="E712" s="9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9"/>
      <c r="B713" s="9"/>
      <c r="C713" s="9"/>
      <c r="D713" s="9"/>
      <c r="E713" s="9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/>
      <c r="B714" s="9"/>
      <c r="C714" s="9"/>
      <c r="D714" s="9"/>
      <c r="E714" s="9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9"/>
      <c r="B715" s="9"/>
      <c r="C715" s="9"/>
      <c r="D715" s="9"/>
      <c r="E715" s="9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/>
      <c r="B716" s="9"/>
      <c r="C716" s="9"/>
      <c r="D716" s="9"/>
      <c r="E716" s="9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9"/>
      <c r="B717" s="9"/>
      <c r="C717" s="9"/>
      <c r="D717" s="9"/>
      <c r="E717" s="9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/>
      <c r="B718" s="9"/>
      <c r="C718" s="9"/>
      <c r="D718" s="9"/>
      <c r="E718" s="9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9"/>
      <c r="B719" s="9"/>
      <c r="C719" s="9"/>
      <c r="D719" s="9"/>
      <c r="E719" s="9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/>
      <c r="B720" s="9"/>
      <c r="C720" s="9"/>
      <c r="D720" s="9"/>
      <c r="E720" s="9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9"/>
      <c r="B721" s="9"/>
      <c r="C721" s="9"/>
      <c r="D721" s="9"/>
      <c r="E721" s="9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/>
      <c r="B722" s="9"/>
      <c r="C722" s="9"/>
      <c r="D722" s="9"/>
      <c r="E722" s="9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9"/>
      <c r="B723" s="9"/>
      <c r="C723" s="9"/>
      <c r="D723" s="9"/>
      <c r="E723" s="9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/>
      <c r="B724" s="9"/>
      <c r="C724" s="9"/>
      <c r="D724" s="9"/>
      <c r="E724" s="9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9"/>
      <c r="B725" s="9"/>
      <c r="C725" s="9"/>
      <c r="D725" s="9"/>
      <c r="E725" s="9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/>
      <c r="B726" s="9"/>
      <c r="C726" s="9"/>
      <c r="D726" s="9"/>
      <c r="E726" s="9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9"/>
      <c r="B727" s="9"/>
      <c r="C727" s="9"/>
      <c r="D727" s="9"/>
      <c r="E727" s="9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/>
      <c r="B728" s="9"/>
      <c r="C728" s="9"/>
      <c r="D728" s="9"/>
      <c r="E728" s="9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9"/>
      <c r="B729" s="9"/>
      <c r="C729" s="9"/>
      <c r="D729" s="9"/>
      <c r="E729" s="9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/>
      <c r="B730" s="9"/>
      <c r="C730" s="9"/>
      <c r="D730" s="9"/>
      <c r="E730" s="9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9"/>
      <c r="B731" s="9"/>
      <c r="C731" s="9"/>
      <c r="D731" s="9"/>
      <c r="E731" s="9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/>
      <c r="B732" s="9"/>
      <c r="C732" s="9"/>
      <c r="D732" s="9"/>
      <c r="E732" s="9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9"/>
      <c r="B733" s="9"/>
      <c r="C733" s="9"/>
      <c r="D733" s="9"/>
      <c r="E733" s="9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/>
      <c r="B734" s="9"/>
      <c r="C734" s="9"/>
      <c r="D734" s="9"/>
      <c r="E734" s="9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9"/>
      <c r="B735" s="9"/>
      <c r="C735" s="9"/>
      <c r="D735" s="9"/>
      <c r="E735" s="9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/>
      <c r="B736" s="9"/>
      <c r="C736" s="9"/>
      <c r="D736" s="9"/>
      <c r="E736" s="9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9"/>
      <c r="B737" s="9"/>
      <c r="C737" s="9"/>
      <c r="D737" s="9"/>
      <c r="E737" s="9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/>
      <c r="B738" s="9"/>
      <c r="C738" s="9"/>
      <c r="D738" s="9"/>
      <c r="E738" s="9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9"/>
      <c r="B739" s="9"/>
      <c r="C739" s="9"/>
      <c r="D739" s="9"/>
      <c r="E739" s="9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/>
      <c r="B740" s="9"/>
      <c r="C740" s="9"/>
      <c r="D740" s="9"/>
      <c r="E740" s="9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9"/>
      <c r="B741" s="9"/>
      <c r="C741" s="9"/>
      <c r="D741" s="9"/>
      <c r="E741" s="9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9"/>
      <c r="B742" s="9"/>
      <c r="C742" s="9"/>
      <c r="D742" s="9"/>
      <c r="E742" s="9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9"/>
      <c r="B743" s="9"/>
      <c r="C743" s="9"/>
      <c r="D743" s="9"/>
      <c r="E743" s="9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9"/>
      <c r="B744" s="9"/>
      <c r="C744" s="9"/>
      <c r="D744" s="9"/>
      <c r="E744" s="9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9"/>
      <c r="B745" s="9"/>
      <c r="C745" s="9"/>
      <c r="D745" s="9"/>
      <c r="E745" s="9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/>
      <c r="B746" s="9"/>
      <c r="C746" s="9"/>
      <c r="D746" s="9"/>
      <c r="E746" s="9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9"/>
      <c r="B747" s="9"/>
      <c r="C747" s="9"/>
      <c r="D747" s="9"/>
      <c r="E747" s="9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/>
      <c r="B748" s="9"/>
      <c r="C748" s="9"/>
      <c r="D748" s="9"/>
      <c r="E748" s="9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9"/>
      <c r="B749" s="9"/>
      <c r="C749" s="9"/>
      <c r="D749" s="9"/>
      <c r="E749" s="9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9"/>
      <c r="B750" s="9"/>
      <c r="C750" s="9"/>
      <c r="D750" s="9"/>
      <c r="E750" s="9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9"/>
      <c r="B751" s="9"/>
      <c r="C751" s="9"/>
      <c r="D751" s="9"/>
      <c r="E751" s="9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/>
      <c r="B752" s="9"/>
      <c r="C752" s="9"/>
      <c r="D752" s="9"/>
      <c r="E752" s="9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9"/>
      <c r="B753" s="9"/>
      <c r="C753" s="9"/>
      <c r="D753" s="9"/>
      <c r="E753" s="9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/>
      <c r="B754" s="9"/>
      <c r="C754" s="9"/>
      <c r="D754" s="9"/>
      <c r="E754" s="9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9"/>
      <c r="B755" s="9"/>
      <c r="C755" s="9"/>
      <c r="D755" s="9"/>
      <c r="E755" s="9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9"/>
      <c r="B756" s="9"/>
      <c r="C756" s="9"/>
      <c r="D756" s="9"/>
      <c r="E756" s="9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9"/>
      <c r="B757" s="9"/>
      <c r="C757" s="9"/>
      <c r="D757" s="9"/>
      <c r="E757" s="9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/>
      <c r="B758" s="9"/>
      <c r="C758" s="9"/>
      <c r="D758" s="9"/>
      <c r="E758" s="9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9"/>
      <c r="B759" s="9"/>
      <c r="C759" s="9"/>
      <c r="D759" s="9"/>
      <c r="E759" s="9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/>
      <c r="B760" s="9"/>
      <c r="C760" s="9"/>
      <c r="D760" s="9"/>
      <c r="E760" s="9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9"/>
      <c r="B761" s="9"/>
      <c r="C761" s="9"/>
      <c r="D761" s="9"/>
      <c r="E761" s="9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/>
      <c r="B762" s="9"/>
      <c r="C762" s="9"/>
      <c r="D762" s="9"/>
      <c r="E762" s="9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9"/>
      <c r="B763" s="9"/>
      <c r="C763" s="9"/>
      <c r="D763" s="9"/>
      <c r="E763" s="9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/>
      <c r="B764" s="9"/>
      <c r="C764" s="9"/>
      <c r="D764" s="9"/>
      <c r="E764" s="9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9"/>
      <c r="B765" s="9"/>
      <c r="C765" s="9"/>
      <c r="D765" s="9"/>
      <c r="E765" s="9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9"/>
      <c r="B766" s="9"/>
      <c r="C766" s="9"/>
      <c r="D766" s="9"/>
      <c r="E766" s="9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9"/>
      <c r="B767" s="9"/>
      <c r="C767" s="9"/>
      <c r="D767" s="9"/>
      <c r="E767" s="9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9"/>
      <c r="B768" s="9"/>
      <c r="C768" s="9"/>
      <c r="D768" s="9"/>
      <c r="E768" s="9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9"/>
      <c r="B769" s="9"/>
      <c r="C769" s="9"/>
      <c r="D769" s="9"/>
      <c r="E769" s="9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9"/>
      <c r="B770" s="9"/>
      <c r="C770" s="9"/>
      <c r="D770" s="9"/>
      <c r="E770" s="9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9"/>
      <c r="B771" s="9"/>
      <c r="C771" s="9"/>
      <c r="D771" s="9"/>
      <c r="E771" s="9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/>
      <c r="B772" s="9"/>
      <c r="C772" s="9"/>
      <c r="D772" s="9"/>
      <c r="E772" s="9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9"/>
      <c r="B773" s="9"/>
      <c r="C773" s="9"/>
      <c r="D773" s="9"/>
      <c r="E773" s="9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/>
      <c r="B774" s="9"/>
      <c r="C774" s="9"/>
      <c r="D774" s="9"/>
      <c r="E774" s="9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9"/>
      <c r="B775" s="9"/>
      <c r="C775" s="9"/>
      <c r="D775" s="9"/>
      <c r="E775" s="9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/>
      <c r="B776" s="9"/>
      <c r="C776" s="9"/>
      <c r="D776" s="9"/>
      <c r="E776" s="9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9"/>
      <c r="B777" s="9"/>
      <c r="C777" s="9"/>
      <c r="D777" s="9"/>
      <c r="E777" s="9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/>
      <c r="B778" s="9"/>
      <c r="C778" s="9"/>
      <c r="D778" s="9"/>
      <c r="E778" s="9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9"/>
      <c r="B779" s="9"/>
      <c r="C779" s="9"/>
      <c r="D779" s="9"/>
      <c r="E779" s="9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/>
      <c r="B780" s="9"/>
      <c r="C780" s="9"/>
      <c r="D780" s="9"/>
      <c r="E780" s="9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9"/>
      <c r="B781" s="9"/>
      <c r="C781" s="9"/>
      <c r="D781" s="9"/>
      <c r="E781" s="9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/>
      <c r="B782" s="9"/>
      <c r="C782" s="9"/>
      <c r="D782" s="9"/>
      <c r="E782" s="9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9"/>
      <c r="B783" s="9"/>
      <c r="C783" s="9"/>
      <c r="D783" s="9"/>
      <c r="E783" s="9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9"/>
      <c r="B784" s="9"/>
      <c r="C784" s="9"/>
      <c r="D784" s="9"/>
      <c r="E784" s="9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9"/>
      <c r="B785" s="9"/>
      <c r="C785" s="9"/>
      <c r="D785" s="9"/>
      <c r="E785" s="9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/>
      <c r="B786" s="9"/>
      <c r="C786" s="9"/>
      <c r="D786" s="9"/>
      <c r="E786" s="9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9"/>
      <c r="B787" s="9"/>
      <c r="C787" s="9"/>
      <c r="D787" s="9"/>
      <c r="E787" s="9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/>
      <c r="B788" s="9"/>
      <c r="C788" s="9"/>
      <c r="D788" s="9"/>
      <c r="E788" s="9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9"/>
      <c r="B789" s="9"/>
      <c r="C789" s="9"/>
      <c r="D789" s="9"/>
      <c r="E789" s="9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/>
      <c r="B790" s="9"/>
      <c r="C790" s="9"/>
      <c r="D790" s="9"/>
      <c r="E790" s="9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9"/>
      <c r="B791" s="9"/>
      <c r="C791" s="9"/>
      <c r="D791" s="9"/>
      <c r="E791" s="9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/>
      <c r="B792" s="9"/>
      <c r="C792" s="9"/>
      <c r="D792" s="9"/>
      <c r="E792" s="9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9"/>
      <c r="B793" s="9"/>
      <c r="C793" s="9"/>
      <c r="D793" s="9"/>
      <c r="E793" s="9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/>
      <c r="B794" s="9"/>
      <c r="C794" s="9"/>
      <c r="D794" s="9"/>
      <c r="E794" s="9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9"/>
      <c r="B795" s="9"/>
      <c r="C795" s="9"/>
      <c r="D795" s="9"/>
      <c r="E795" s="9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/>
      <c r="B796" s="9"/>
      <c r="C796" s="9"/>
      <c r="D796" s="9"/>
      <c r="E796" s="9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9"/>
      <c r="B797" s="9"/>
      <c r="C797" s="9"/>
      <c r="D797" s="9"/>
      <c r="E797" s="9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/>
      <c r="B798" s="9"/>
      <c r="C798" s="9"/>
      <c r="D798" s="9"/>
      <c r="E798" s="9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9"/>
      <c r="B799" s="9"/>
      <c r="C799" s="9"/>
      <c r="D799" s="9"/>
      <c r="E799" s="9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/>
      <c r="B800" s="9"/>
      <c r="C800" s="9"/>
      <c r="D800" s="9"/>
      <c r="E800" s="9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9"/>
      <c r="B801" s="9"/>
      <c r="C801" s="9"/>
      <c r="D801" s="9"/>
      <c r="E801" s="9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/>
      <c r="B802" s="9"/>
      <c r="C802" s="9"/>
      <c r="D802" s="9"/>
      <c r="E802" s="9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9"/>
      <c r="B803" s="9"/>
      <c r="C803" s="9"/>
      <c r="D803" s="9"/>
      <c r="E803" s="9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/>
      <c r="B804" s="9"/>
      <c r="C804" s="9"/>
      <c r="D804" s="9"/>
      <c r="E804" s="9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9"/>
      <c r="B805" s="9"/>
      <c r="C805" s="9"/>
      <c r="D805" s="9"/>
      <c r="E805" s="9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/>
      <c r="B806" s="9"/>
      <c r="C806" s="9"/>
      <c r="D806" s="9"/>
      <c r="E806" s="9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9"/>
      <c r="B807" s="9"/>
      <c r="C807" s="9"/>
      <c r="D807" s="9"/>
      <c r="E807" s="9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/>
      <c r="B808" s="9"/>
      <c r="C808" s="9"/>
      <c r="D808" s="9"/>
      <c r="E808" s="9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9"/>
      <c r="B809" s="9"/>
      <c r="C809" s="9"/>
      <c r="D809" s="9"/>
      <c r="E809" s="9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/>
      <c r="B810" s="9"/>
      <c r="C810" s="9"/>
      <c r="D810" s="9"/>
      <c r="E810" s="9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9"/>
      <c r="B811" s="9"/>
      <c r="C811" s="9"/>
      <c r="D811" s="9"/>
      <c r="E811" s="9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/>
      <c r="B812" s="9"/>
      <c r="C812" s="9"/>
      <c r="D812" s="9"/>
      <c r="E812" s="9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9"/>
      <c r="B813" s="9"/>
      <c r="C813" s="9"/>
      <c r="D813" s="9"/>
      <c r="E813" s="9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/>
      <c r="B814" s="9"/>
      <c r="C814" s="9"/>
      <c r="D814" s="9"/>
      <c r="E814" s="9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9"/>
      <c r="B815" s="9"/>
      <c r="C815" s="9"/>
      <c r="D815" s="9"/>
      <c r="E815" s="9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/>
      <c r="B816" s="9"/>
      <c r="C816" s="9"/>
      <c r="D816" s="9"/>
      <c r="E816" s="9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9"/>
      <c r="B817" s="9"/>
      <c r="C817" s="9"/>
      <c r="D817" s="9"/>
      <c r="E817" s="9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/>
      <c r="B818" s="9"/>
      <c r="C818" s="9"/>
      <c r="D818" s="9"/>
      <c r="E818" s="9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9"/>
      <c r="B819" s="9"/>
      <c r="C819" s="9"/>
      <c r="D819" s="9"/>
      <c r="E819" s="9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/>
      <c r="B820" s="9"/>
      <c r="C820" s="9"/>
      <c r="D820" s="9"/>
      <c r="E820" s="9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9"/>
      <c r="B821" s="9"/>
      <c r="C821" s="9"/>
      <c r="D821" s="9"/>
      <c r="E821" s="9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/>
      <c r="B822" s="9"/>
      <c r="C822" s="9"/>
      <c r="D822" s="9"/>
      <c r="E822" s="9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9"/>
      <c r="B823" s="9"/>
      <c r="C823" s="9"/>
      <c r="D823" s="9"/>
      <c r="E823" s="9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/>
      <c r="B824" s="9"/>
      <c r="C824" s="9"/>
      <c r="D824" s="9"/>
      <c r="E824" s="9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9"/>
      <c r="B825" s="9"/>
      <c r="C825" s="9"/>
      <c r="D825" s="9"/>
      <c r="E825" s="9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/>
      <c r="B826" s="9"/>
      <c r="C826" s="9"/>
      <c r="D826" s="9"/>
      <c r="E826" s="9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9"/>
      <c r="B827" s="9"/>
      <c r="C827" s="9"/>
      <c r="D827" s="9"/>
      <c r="E827" s="9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/>
      <c r="B828" s="9"/>
      <c r="C828" s="9"/>
      <c r="D828" s="9"/>
      <c r="E828" s="9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9"/>
      <c r="B829" s="9"/>
      <c r="C829" s="9"/>
      <c r="D829" s="9"/>
      <c r="E829" s="9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/>
      <c r="B830" s="9"/>
      <c r="C830" s="9"/>
      <c r="D830" s="9"/>
      <c r="E830" s="9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9"/>
      <c r="B831" s="9"/>
      <c r="C831" s="9"/>
      <c r="D831" s="9"/>
      <c r="E831" s="9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/>
      <c r="B832" s="9"/>
      <c r="C832" s="9"/>
      <c r="D832" s="9"/>
      <c r="E832" s="9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9"/>
      <c r="B833" s="9"/>
      <c r="C833" s="9"/>
      <c r="D833" s="9"/>
      <c r="E833" s="9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/>
      <c r="B834" s="9"/>
      <c r="C834" s="9"/>
      <c r="D834" s="9"/>
      <c r="E834" s="9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9"/>
      <c r="B835" s="9"/>
      <c r="C835" s="9"/>
      <c r="D835" s="9"/>
      <c r="E835" s="9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/>
      <c r="B836" s="9"/>
      <c r="C836" s="9"/>
      <c r="D836" s="9"/>
      <c r="E836" s="9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9"/>
      <c r="B837" s="9"/>
      <c r="C837" s="9"/>
      <c r="D837" s="9"/>
      <c r="E837" s="9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/>
      <c r="B838" s="9"/>
      <c r="C838" s="9"/>
      <c r="D838" s="9"/>
      <c r="E838" s="9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9"/>
      <c r="B839" s="9"/>
      <c r="C839" s="9"/>
      <c r="D839" s="9"/>
      <c r="E839" s="9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/>
      <c r="B840" s="9"/>
      <c r="C840" s="9"/>
      <c r="D840" s="9"/>
      <c r="E840" s="9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9"/>
      <c r="B841" s="9"/>
      <c r="C841" s="9"/>
      <c r="D841" s="9"/>
      <c r="E841" s="9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/>
      <c r="B842" s="9"/>
      <c r="C842" s="9"/>
      <c r="D842" s="9"/>
      <c r="E842" s="9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9"/>
      <c r="B843" s="9"/>
      <c r="C843" s="9"/>
      <c r="D843" s="9"/>
      <c r="E843" s="9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/>
      <c r="B844" s="9"/>
      <c r="C844" s="9"/>
      <c r="D844" s="9"/>
      <c r="E844" s="9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9"/>
      <c r="B845" s="9"/>
      <c r="C845" s="9"/>
      <c r="D845" s="9"/>
      <c r="E845" s="9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/>
      <c r="B846" s="9"/>
      <c r="C846" s="9"/>
      <c r="D846" s="9"/>
      <c r="E846" s="9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9"/>
      <c r="B847" s="9"/>
      <c r="C847" s="9"/>
      <c r="D847" s="9"/>
      <c r="E847" s="9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/>
      <c r="B848" s="9"/>
      <c r="C848" s="9"/>
      <c r="D848" s="9"/>
      <c r="E848" s="9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9"/>
      <c r="B849" s="9"/>
      <c r="C849" s="9"/>
      <c r="D849" s="9"/>
      <c r="E849" s="9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/>
      <c r="B850" s="9"/>
      <c r="C850" s="9"/>
      <c r="D850" s="9"/>
      <c r="E850" s="9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9"/>
      <c r="B851" s="9"/>
      <c r="C851" s="9"/>
      <c r="D851" s="9"/>
      <c r="E851" s="9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/>
      <c r="B852" s="9"/>
      <c r="C852" s="9"/>
      <c r="D852" s="9"/>
      <c r="E852" s="9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9"/>
      <c r="B853" s="9"/>
      <c r="C853" s="9"/>
      <c r="D853" s="9"/>
      <c r="E853" s="9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/>
      <c r="B854" s="9"/>
      <c r="C854" s="9"/>
      <c r="D854" s="9"/>
      <c r="E854" s="9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9"/>
      <c r="B855" s="9"/>
      <c r="C855" s="9"/>
      <c r="D855" s="9"/>
      <c r="E855" s="9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/>
      <c r="B856" s="9"/>
      <c r="C856" s="9"/>
      <c r="D856" s="9"/>
      <c r="E856" s="9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9"/>
      <c r="B857" s="9"/>
      <c r="C857" s="9"/>
      <c r="D857" s="9"/>
      <c r="E857" s="9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/>
      <c r="B858" s="9"/>
      <c r="C858" s="9"/>
      <c r="D858" s="9"/>
      <c r="E858" s="9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9"/>
      <c r="B859" s="9"/>
      <c r="C859" s="9"/>
      <c r="D859" s="9"/>
      <c r="E859" s="9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/>
      <c r="B860" s="9"/>
      <c r="C860" s="9"/>
      <c r="D860" s="9"/>
      <c r="E860" s="9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9"/>
      <c r="B861" s="9"/>
      <c r="C861" s="9"/>
      <c r="D861" s="9"/>
      <c r="E861" s="9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/>
      <c r="B862" s="9"/>
      <c r="C862" s="9"/>
      <c r="D862" s="9"/>
      <c r="E862" s="9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9"/>
      <c r="B863" s="9"/>
      <c r="C863" s="9"/>
      <c r="D863" s="9"/>
      <c r="E863" s="9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/>
      <c r="B864" s="9"/>
      <c r="C864" s="9"/>
      <c r="D864" s="9"/>
      <c r="E864" s="9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9"/>
      <c r="B865" s="9"/>
      <c r="C865" s="9"/>
      <c r="D865" s="9"/>
      <c r="E865" s="9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/>
      <c r="B866" s="9"/>
      <c r="C866" s="9"/>
      <c r="D866" s="9"/>
      <c r="E866" s="9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9"/>
      <c r="B867" s="9"/>
      <c r="C867" s="9"/>
      <c r="D867" s="9"/>
      <c r="E867" s="9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/>
      <c r="B868" s="9"/>
      <c r="C868" s="9"/>
      <c r="D868" s="9"/>
      <c r="E868" s="9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9"/>
      <c r="B869" s="9"/>
      <c r="C869" s="9"/>
      <c r="D869" s="9"/>
      <c r="E869" s="9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/>
      <c r="B870" s="9"/>
      <c r="C870" s="9"/>
      <c r="D870" s="9"/>
      <c r="E870" s="9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9"/>
      <c r="B871" s="9"/>
      <c r="C871" s="9"/>
      <c r="D871" s="9"/>
      <c r="E871" s="9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/>
      <c r="B872" s="9"/>
      <c r="C872" s="9"/>
      <c r="D872" s="9"/>
      <c r="E872" s="9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9"/>
      <c r="B873" s="9"/>
      <c r="C873" s="9"/>
      <c r="D873" s="9"/>
      <c r="E873" s="9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/>
      <c r="B874" s="9"/>
      <c r="C874" s="9"/>
      <c r="D874" s="9"/>
      <c r="E874" s="9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9"/>
      <c r="B875" s="9"/>
      <c r="C875" s="9"/>
      <c r="D875" s="9"/>
      <c r="E875" s="9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/>
      <c r="B876" s="9"/>
      <c r="C876" s="9"/>
      <c r="D876" s="9"/>
      <c r="E876" s="9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9"/>
      <c r="B877" s="9"/>
      <c r="C877" s="9"/>
      <c r="D877" s="9"/>
      <c r="E877" s="9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/>
      <c r="B878" s="9"/>
      <c r="C878" s="9"/>
      <c r="D878" s="9"/>
      <c r="E878" s="9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9"/>
      <c r="B879" s="9"/>
      <c r="C879" s="9"/>
      <c r="D879" s="9"/>
      <c r="E879" s="9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/>
      <c r="B880" s="9"/>
      <c r="C880" s="9"/>
      <c r="D880" s="9"/>
      <c r="E880" s="9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9"/>
      <c r="B881" s="9"/>
      <c r="C881" s="9"/>
      <c r="D881" s="9"/>
      <c r="E881" s="9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/>
      <c r="B882" s="9"/>
      <c r="C882" s="9"/>
      <c r="D882" s="9"/>
      <c r="E882" s="9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9"/>
      <c r="B883" s="9"/>
      <c r="C883" s="9"/>
      <c r="D883" s="9"/>
      <c r="E883" s="9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9"/>
      <c r="B884" s="9"/>
      <c r="C884" s="9"/>
      <c r="D884" s="9"/>
      <c r="E884" s="9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9"/>
      <c r="B885" s="9"/>
      <c r="C885" s="9"/>
      <c r="D885" s="9"/>
      <c r="E885" s="9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/>
      <c r="B886" s="9"/>
      <c r="C886" s="9"/>
      <c r="D886" s="9"/>
      <c r="E886" s="9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9"/>
      <c r="B887" s="9"/>
      <c r="C887" s="9"/>
      <c r="D887" s="9"/>
      <c r="E887" s="9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/>
      <c r="B888" s="9"/>
      <c r="C888" s="9"/>
      <c r="D888" s="9"/>
      <c r="E888" s="9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9"/>
      <c r="B889" s="9"/>
      <c r="C889" s="9"/>
      <c r="D889" s="9"/>
      <c r="E889" s="9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/>
      <c r="B890" s="9"/>
      <c r="C890" s="9"/>
      <c r="D890" s="9"/>
      <c r="E890" s="9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9"/>
      <c r="B891" s="9"/>
      <c r="C891" s="9"/>
      <c r="D891" s="9"/>
      <c r="E891" s="9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/>
      <c r="B892" s="9"/>
      <c r="C892" s="9"/>
      <c r="D892" s="9"/>
      <c r="E892" s="9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9"/>
      <c r="B893" s="9"/>
      <c r="C893" s="9"/>
      <c r="D893" s="9"/>
      <c r="E893" s="9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/>
      <c r="B894" s="9"/>
      <c r="C894" s="9"/>
      <c r="D894" s="9"/>
      <c r="E894" s="9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9"/>
      <c r="B895" s="9"/>
      <c r="C895" s="9"/>
      <c r="D895" s="9"/>
      <c r="E895" s="9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/>
      <c r="B896" s="9"/>
      <c r="C896" s="9"/>
      <c r="D896" s="9"/>
      <c r="E896" s="9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9"/>
      <c r="B897" s="9"/>
      <c r="C897" s="9"/>
      <c r="D897" s="9"/>
      <c r="E897" s="9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/>
      <c r="B898" s="9"/>
      <c r="C898" s="9"/>
      <c r="D898" s="9"/>
      <c r="E898" s="9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9"/>
      <c r="B899" s="9"/>
      <c r="C899" s="9"/>
      <c r="D899" s="9"/>
      <c r="E899" s="9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9"/>
      <c r="B900" s="9"/>
      <c r="C900" s="9"/>
      <c r="D900" s="9"/>
      <c r="E900" s="9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9"/>
      <c r="B901" s="9"/>
      <c r="C901" s="9"/>
      <c r="D901" s="9"/>
      <c r="E901" s="9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9"/>
      <c r="B902" s="9"/>
      <c r="C902" s="9"/>
      <c r="D902" s="9"/>
      <c r="E902" s="9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9"/>
      <c r="B903" s="9"/>
      <c r="C903" s="9"/>
      <c r="D903" s="9"/>
      <c r="E903" s="9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9"/>
      <c r="B904" s="9"/>
      <c r="C904" s="9"/>
      <c r="D904" s="9"/>
      <c r="E904" s="9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9"/>
      <c r="B905" s="9"/>
      <c r="C905" s="9"/>
      <c r="D905" s="9"/>
      <c r="E905" s="9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9"/>
      <c r="B906" s="9"/>
      <c r="C906" s="9"/>
      <c r="D906" s="9"/>
      <c r="E906" s="9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9"/>
      <c r="B907" s="9"/>
      <c r="C907" s="9"/>
      <c r="D907" s="9"/>
      <c r="E907" s="9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9"/>
      <c r="B908" s="9"/>
      <c r="C908" s="9"/>
      <c r="D908" s="9"/>
      <c r="E908" s="9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9"/>
      <c r="B909" s="9"/>
      <c r="C909" s="9"/>
      <c r="D909" s="9"/>
      <c r="E909" s="9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9"/>
      <c r="B910" s="9"/>
      <c r="C910" s="9"/>
      <c r="D910" s="9"/>
      <c r="E910" s="9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9"/>
      <c r="B911" s="9"/>
      <c r="C911" s="9"/>
      <c r="D911" s="9"/>
      <c r="E911" s="9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9"/>
      <c r="B912" s="9"/>
      <c r="C912" s="9"/>
      <c r="D912" s="9"/>
      <c r="E912" s="9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9"/>
      <c r="B913" s="9"/>
      <c r="C913" s="9"/>
      <c r="D913" s="9"/>
      <c r="E913" s="9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9"/>
      <c r="B914" s="9"/>
      <c r="C914" s="9"/>
      <c r="D914" s="9"/>
      <c r="E914" s="9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9"/>
      <c r="B915" s="9"/>
      <c r="C915" s="9"/>
      <c r="D915" s="9"/>
      <c r="E915" s="9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9"/>
      <c r="B916" s="9"/>
      <c r="C916" s="9"/>
      <c r="D916" s="9"/>
      <c r="E916" s="9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9"/>
      <c r="B917" s="9"/>
      <c r="C917" s="9"/>
      <c r="D917" s="9"/>
      <c r="E917" s="9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9"/>
      <c r="B918" s="9"/>
      <c r="C918" s="9"/>
      <c r="D918" s="9"/>
      <c r="E918" s="9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9"/>
      <c r="B919" s="9"/>
      <c r="C919" s="9"/>
      <c r="D919" s="9"/>
      <c r="E919" s="9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9"/>
      <c r="B920" s="9"/>
      <c r="C920" s="9"/>
      <c r="D920" s="9"/>
      <c r="E920" s="9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9"/>
      <c r="B921" s="9"/>
      <c r="C921" s="9"/>
      <c r="D921" s="9"/>
      <c r="E921" s="9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9"/>
      <c r="B922" s="9"/>
      <c r="C922" s="9"/>
      <c r="D922" s="9"/>
      <c r="E922" s="9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9"/>
      <c r="B923" s="9"/>
      <c r="C923" s="9"/>
      <c r="D923" s="9"/>
      <c r="E923" s="9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9"/>
      <c r="B924" s="9"/>
      <c r="C924" s="9"/>
      <c r="D924" s="9"/>
      <c r="E924" s="9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9"/>
      <c r="B925" s="9"/>
      <c r="C925" s="9"/>
      <c r="D925" s="9"/>
      <c r="E925" s="9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9"/>
      <c r="B926" s="9"/>
      <c r="C926" s="9"/>
      <c r="D926" s="9"/>
      <c r="E926" s="9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9"/>
      <c r="B927" s="9"/>
      <c r="C927" s="9"/>
      <c r="D927" s="9"/>
      <c r="E927" s="9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9"/>
      <c r="B928" s="9"/>
      <c r="C928" s="9"/>
      <c r="D928" s="9"/>
      <c r="E928" s="9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9"/>
      <c r="B929" s="9"/>
      <c r="C929" s="9"/>
      <c r="D929" s="9"/>
      <c r="E929" s="9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9"/>
      <c r="B930" s="9"/>
      <c r="C930" s="9"/>
      <c r="D930" s="9"/>
      <c r="E930" s="9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9"/>
      <c r="B931" s="9"/>
      <c r="C931" s="9"/>
      <c r="D931" s="9"/>
      <c r="E931" s="9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9"/>
      <c r="B932" s="9"/>
      <c r="C932" s="9"/>
      <c r="D932" s="9"/>
      <c r="E932" s="9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9"/>
      <c r="B933" s="9"/>
      <c r="C933" s="9"/>
      <c r="D933" s="9"/>
      <c r="E933" s="9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9"/>
      <c r="B934" s="9"/>
      <c r="C934" s="9"/>
      <c r="D934" s="9"/>
      <c r="E934" s="9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9"/>
      <c r="B935" s="9"/>
      <c r="C935" s="9"/>
      <c r="D935" s="9"/>
      <c r="E935" s="9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9"/>
      <c r="B936" s="9"/>
      <c r="C936" s="9"/>
      <c r="D936" s="9"/>
      <c r="E936" s="9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9"/>
      <c r="B937" s="9"/>
      <c r="C937" s="9"/>
      <c r="D937" s="9"/>
      <c r="E937" s="9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9"/>
      <c r="B938" s="9"/>
      <c r="C938" s="9"/>
      <c r="D938" s="9"/>
      <c r="E938" s="9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9"/>
      <c r="B939" s="9"/>
      <c r="C939" s="9"/>
      <c r="D939" s="9"/>
      <c r="E939" s="9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9"/>
      <c r="B940" s="9"/>
      <c r="C940" s="9"/>
      <c r="D940" s="9"/>
      <c r="E940" s="9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9"/>
      <c r="B941" s="9"/>
      <c r="C941" s="9"/>
      <c r="D941" s="9"/>
      <c r="E941" s="9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9"/>
      <c r="B942" s="9"/>
      <c r="C942" s="9"/>
      <c r="D942" s="9"/>
      <c r="E942" s="9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9"/>
      <c r="B943" s="9"/>
      <c r="C943" s="9"/>
      <c r="D943" s="9"/>
      <c r="E943" s="9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9"/>
      <c r="B944" s="9"/>
      <c r="C944" s="9"/>
      <c r="D944" s="9"/>
      <c r="E944" s="9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9"/>
      <c r="B945" s="9"/>
      <c r="C945" s="9"/>
      <c r="D945" s="9"/>
      <c r="E945" s="9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9"/>
      <c r="B946" s="9"/>
      <c r="C946" s="9"/>
      <c r="D946" s="9"/>
      <c r="E946" s="9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9"/>
      <c r="B947" s="9"/>
      <c r="C947" s="9"/>
      <c r="D947" s="9"/>
      <c r="E947" s="9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9"/>
      <c r="B948" s="9"/>
      <c r="C948" s="9"/>
      <c r="D948" s="9"/>
      <c r="E948" s="9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9"/>
      <c r="B949" s="9"/>
      <c r="C949" s="9"/>
      <c r="D949" s="9"/>
      <c r="E949" s="9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9"/>
      <c r="B950" s="9"/>
      <c r="C950" s="9"/>
      <c r="D950" s="9"/>
      <c r="E950" s="9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9"/>
      <c r="B951" s="9"/>
      <c r="C951" s="9"/>
      <c r="D951" s="9"/>
      <c r="E951" s="9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9"/>
      <c r="B952" s="9"/>
      <c r="C952" s="9"/>
      <c r="D952" s="9"/>
      <c r="E952" s="9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9"/>
      <c r="B953" s="9"/>
      <c r="C953" s="9"/>
      <c r="D953" s="9"/>
      <c r="E953" s="9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9"/>
      <c r="B954" s="9"/>
      <c r="C954" s="9"/>
      <c r="D954" s="9"/>
      <c r="E954" s="9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9"/>
      <c r="B955" s="9"/>
      <c r="C955" s="9"/>
      <c r="D955" s="9"/>
      <c r="E955" s="9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9"/>
      <c r="B956" s="9"/>
      <c r="C956" s="9"/>
      <c r="D956" s="9"/>
      <c r="E956" s="9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9"/>
      <c r="B957" s="9"/>
      <c r="C957" s="9"/>
      <c r="D957" s="9"/>
      <c r="E957" s="9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9"/>
      <c r="B958" s="9"/>
      <c r="C958" s="9"/>
      <c r="D958" s="9"/>
      <c r="E958" s="9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9"/>
      <c r="B959" s="9"/>
      <c r="C959" s="9"/>
      <c r="D959" s="9"/>
      <c r="E959" s="9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9"/>
      <c r="B960" s="9"/>
      <c r="C960" s="9"/>
      <c r="D960" s="9"/>
      <c r="E960" s="9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9"/>
      <c r="B961" s="9"/>
      <c r="C961" s="9"/>
      <c r="D961" s="9"/>
      <c r="E961" s="9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9"/>
      <c r="B962" s="9"/>
      <c r="C962" s="9"/>
      <c r="D962" s="9"/>
      <c r="E962" s="9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9"/>
      <c r="B963" s="9"/>
      <c r="C963" s="9"/>
      <c r="D963" s="9"/>
      <c r="E963" s="9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9"/>
      <c r="B964" s="9"/>
      <c r="C964" s="9"/>
      <c r="D964" s="9"/>
      <c r="E964" s="9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9"/>
      <c r="B965" s="9"/>
      <c r="C965" s="9"/>
      <c r="D965" s="9"/>
      <c r="E965" s="9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9"/>
      <c r="B966" s="9"/>
      <c r="C966" s="9"/>
      <c r="D966" s="9"/>
      <c r="E966" s="9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9"/>
      <c r="B967" s="9"/>
      <c r="C967" s="9"/>
      <c r="D967" s="9"/>
      <c r="E967" s="9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9"/>
      <c r="B968" s="9"/>
      <c r="C968" s="9"/>
      <c r="D968" s="9"/>
      <c r="E968" s="9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9"/>
      <c r="B969" s="9"/>
      <c r="C969" s="9"/>
      <c r="D969" s="9"/>
      <c r="E969" s="9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9"/>
      <c r="B970" s="9"/>
      <c r="C970" s="9"/>
      <c r="D970" s="9"/>
      <c r="E970" s="9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9"/>
      <c r="B971" s="9"/>
      <c r="C971" s="9"/>
      <c r="D971" s="9"/>
      <c r="E971" s="9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9"/>
      <c r="B972" s="9"/>
      <c r="C972" s="9"/>
      <c r="D972" s="9"/>
      <c r="E972" s="9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9"/>
      <c r="B973" s="9"/>
      <c r="C973" s="9"/>
      <c r="D973" s="9"/>
      <c r="E973" s="9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9"/>
      <c r="B974" s="9"/>
      <c r="C974" s="9"/>
      <c r="D974" s="9"/>
      <c r="E974" s="9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9"/>
      <c r="B975" s="9"/>
      <c r="C975" s="9"/>
      <c r="D975" s="9"/>
      <c r="E975" s="9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9"/>
      <c r="B976" s="9"/>
      <c r="C976" s="9"/>
      <c r="D976" s="9"/>
      <c r="E976" s="9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9"/>
      <c r="B977" s="9"/>
      <c r="C977" s="9"/>
      <c r="D977" s="9"/>
      <c r="E977" s="9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9"/>
      <c r="B978" s="9"/>
      <c r="C978" s="9"/>
      <c r="D978" s="9"/>
      <c r="E978" s="9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9"/>
      <c r="B979" s="9"/>
      <c r="C979" s="9"/>
      <c r="D979" s="9"/>
      <c r="E979" s="9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9"/>
      <c r="B980" s="9"/>
      <c r="C980" s="9"/>
      <c r="D980" s="9"/>
      <c r="E980" s="9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9"/>
      <c r="B981" s="9"/>
      <c r="C981" s="9"/>
      <c r="D981" s="9"/>
      <c r="E981" s="9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9"/>
      <c r="B982" s="9"/>
      <c r="C982" s="9"/>
      <c r="D982" s="9"/>
      <c r="E982" s="9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9"/>
      <c r="B983" s="9"/>
      <c r="C983" s="9"/>
      <c r="D983" s="9"/>
      <c r="E983" s="9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9"/>
      <c r="B984" s="9"/>
      <c r="C984" s="9"/>
      <c r="D984" s="9"/>
      <c r="E984" s="9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9"/>
      <c r="B985" s="9"/>
      <c r="C985" s="9"/>
      <c r="D985" s="9"/>
      <c r="E985" s="9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9"/>
      <c r="B986" s="9"/>
      <c r="C986" s="9"/>
      <c r="D986" s="9"/>
      <c r="E986" s="9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9"/>
      <c r="B987" s="9"/>
      <c r="C987" s="9"/>
      <c r="D987" s="9"/>
      <c r="E987" s="9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9"/>
      <c r="B988" s="9"/>
      <c r="C988" s="9"/>
      <c r="D988" s="9"/>
      <c r="E988" s="9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9"/>
      <c r="B989" s="9"/>
      <c r="C989" s="9"/>
      <c r="D989" s="9"/>
      <c r="E989" s="9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9"/>
      <c r="B990" s="9"/>
      <c r="C990" s="9"/>
      <c r="D990" s="9"/>
      <c r="E990" s="9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9"/>
      <c r="B991" s="9"/>
      <c r="C991" s="9"/>
      <c r="D991" s="9"/>
      <c r="E991" s="9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9"/>
      <c r="B992" s="9"/>
      <c r="C992" s="9"/>
      <c r="D992" s="9"/>
      <c r="E992" s="9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9"/>
      <c r="B993" s="9"/>
      <c r="C993" s="9"/>
      <c r="D993" s="9"/>
      <c r="E993" s="9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9"/>
      <c r="B994" s="9"/>
      <c r="C994" s="9"/>
      <c r="D994" s="9"/>
      <c r="E994" s="9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9"/>
      <c r="B995" s="9"/>
      <c r="C995" s="9"/>
      <c r="D995" s="9"/>
      <c r="E995" s="9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9"/>
      <c r="B996" s="9"/>
      <c r="C996" s="9"/>
      <c r="D996" s="9"/>
      <c r="E996" s="9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9"/>
      <c r="B997" s="9"/>
      <c r="C997" s="9"/>
      <c r="D997" s="9"/>
      <c r="E997" s="9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9"/>
      <c r="B998" s="9"/>
      <c r="C998" s="9"/>
      <c r="D998" s="9"/>
      <c r="E998" s="9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9"/>
      <c r="B999" s="9"/>
      <c r="C999" s="9"/>
      <c r="D999" s="9"/>
      <c r="E999" s="9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9"/>
      <c r="B1000" s="9"/>
      <c r="C1000" s="9"/>
      <c r="D1000" s="9"/>
      <c r="E1000" s="9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A2:E2"/>
    <mergeCell ref="A5:E5"/>
    <mergeCell ref="A11:E11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14.0"/>
    <col customWidth="1" min="4" max="4" width="12.0"/>
    <col customWidth="1" min="5" max="5" width="55.0"/>
    <col customWidth="1" min="6" max="6" width="20.0"/>
    <col customWidth="1" min="7" max="7" width="12.0"/>
    <col customWidth="1" min="8" max="8" width="18.0"/>
    <col customWidth="1" min="9" max="26" width="8.71"/>
  </cols>
  <sheetData>
    <row r="1" ht="24.0" customHeight="1">
      <c r="A1" s="3" t="s">
        <v>0</v>
      </c>
      <c r="B1" s="5" t="s">
        <v>623</v>
      </c>
      <c r="C1" s="5" t="s">
        <v>624</v>
      </c>
      <c r="D1" s="5" t="s">
        <v>625</v>
      </c>
      <c r="E1" s="5" t="s">
        <v>626</v>
      </c>
      <c r="F1" s="5" t="s">
        <v>627</v>
      </c>
      <c r="G1" s="5" t="s">
        <v>628</v>
      </c>
      <c r="H1" s="5" t="s">
        <v>629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8.0" customHeight="1">
      <c r="A2" s="14">
        <v>1.0</v>
      </c>
      <c r="B2" s="27" t="s">
        <v>630</v>
      </c>
      <c r="C2" s="14" t="s">
        <v>631</v>
      </c>
      <c r="D2" s="14" t="s">
        <v>632</v>
      </c>
      <c r="E2" s="14" t="s">
        <v>633</v>
      </c>
      <c r="F2" s="14" t="s">
        <v>634</v>
      </c>
      <c r="G2" s="28" t="s">
        <v>635</v>
      </c>
      <c r="H2" s="14" t="s">
        <v>636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8.0" customHeight="1">
      <c r="A3" s="14">
        <v>2.0</v>
      </c>
      <c r="B3" s="27" t="s">
        <v>630</v>
      </c>
      <c r="C3" s="14" t="s">
        <v>631</v>
      </c>
      <c r="D3" s="14" t="s">
        <v>637</v>
      </c>
      <c r="E3" s="14" t="s">
        <v>638</v>
      </c>
      <c r="F3" s="14" t="s">
        <v>634</v>
      </c>
      <c r="G3" s="28" t="s">
        <v>635</v>
      </c>
      <c r="H3" s="14" t="s">
        <v>639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8.0" customHeight="1">
      <c r="A4" s="14">
        <v>3.0</v>
      </c>
      <c r="B4" s="29" t="s">
        <v>640</v>
      </c>
      <c r="C4" s="14" t="s">
        <v>631</v>
      </c>
      <c r="D4" s="14" t="s">
        <v>637</v>
      </c>
      <c r="E4" s="14" t="s">
        <v>641</v>
      </c>
      <c r="F4" s="14" t="s">
        <v>634</v>
      </c>
      <c r="G4" s="28" t="s">
        <v>635</v>
      </c>
      <c r="H4" s="14" t="s">
        <v>642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8.0" customHeight="1">
      <c r="A5" s="14">
        <v>4.0</v>
      </c>
      <c r="B5" s="30" t="s">
        <v>643</v>
      </c>
      <c r="C5" s="14" t="s">
        <v>631</v>
      </c>
      <c r="D5" s="14" t="s">
        <v>644</v>
      </c>
      <c r="E5" s="14" t="s">
        <v>645</v>
      </c>
      <c r="F5" s="14" t="s">
        <v>634</v>
      </c>
      <c r="G5" s="28" t="s">
        <v>635</v>
      </c>
      <c r="H5" s="14" t="s">
        <v>646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8.0" customHeight="1">
      <c r="A6" s="14">
        <v>5.0</v>
      </c>
      <c r="B6" s="27" t="s">
        <v>630</v>
      </c>
      <c r="C6" s="14" t="s">
        <v>631</v>
      </c>
      <c r="D6" s="14" t="s">
        <v>647</v>
      </c>
      <c r="E6" s="14" t="s">
        <v>648</v>
      </c>
      <c r="F6" s="14" t="s">
        <v>649</v>
      </c>
      <c r="G6" s="28" t="s">
        <v>635</v>
      </c>
      <c r="H6" s="14" t="s">
        <v>650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0" customHeight="1">
      <c r="A7" s="14">
        <v>6.0</v>
      </c>
      <c r="B7" s="29" t="s">
        <v>640</v>
      </c>
      <c r="C7" s="14" t="s">
        <v>631</v>
      </c>
      <c r="D7" s="14" t="s">
        <v>637</v>
      </c>
      <c r="E7" s="14" t="s">
        <v>651</v>
      </c>
      <c r="F7" s="14" t="s">
        <v>634</v>
      </c>
      <c r="G7" s="28" t="s">
        <v>635</v>
      </c>
      <c r="H7" s="14" t="s">
        <v>652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8.0" customHeight="1">
      <c r="A8" s="14">
        <v>7.0</v>
      </c>
      <c r="B8" s="29" t="s">
        <v>640</v>
      </c>
      <c r="C8" s="14" t="s">
        <v>631</v>
      </c>
      <c r="D8" s="14" t="s">
        <v>632</v>
      </c>
      <c r="E8" s="14" t="s">
        <v>653</v>
      </c>
      <c r="F8" s="14" t="s">
        <v>634</v>
      </c>
      <c r="G8" s="28" t="s">
        <v>635</v>
      </c>
      <c r="H8" s="14" t="s">
        <v>654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8.0" customHeight="1">
      <c r="A9" s="14">
        <v>8.0</v>
      </c>
      <c r="B9" s="30" t="s">
        <v>643</v>
      </c>
      <c r="C9" s="14" t="s">
        <v>631</v>
      </c>
      <c r="D9" s="14" t="s">
        <v>655</v>
      </c>
      <c r="E9" s="14" t="s">
        <v>656</v>
      </c>
      <c r="F9" s="14" t="s">
        <v>657</v>
      </c>
      <c r="G9" s="28" t="s">
        <v>635</v>
      </c>
      <c r="H9" s="14" t="s">
        <v>658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8.0" customHeight="1">
      <c r="A10" s="14">
        <v>9.0</v>
      </c>
      <c r="B10" s="27" t="s">
        <v>630</v>
      </c>
      <c r="C10" s="14" t="s">
        <v>631</v>
      </c>
      <c r="D10" s="14" t="s">
        <v>659</v>
      </c>
      <c r="E10" s="14" t="s">
        <v>660</v>
      </c>
      <c r="F10" s="14" t="s">
        <v>661</v>
      </c>
      <c r="G10" s="28" t="s">
        <v>635</v>
      </c>
      <c r="H10" s="14" t="s">
        <v>662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8.0" customHeight="1">
      <c r="A11" s="14">
        <v>10.0</v>
      </c>
      <c r="B11" s="29" t="s">
        <v>640</v>
      </c>
      <c r="C11" s="14" t="s">
        <v>663</v>
      </c>
      <c r="D11" s="14" t="s">
        <v>637</v>
      </c>
      <c r="E11" s="14" t="s">
        <v>664</v>
      </c>
      <c r="F11" s="14" t="s">
        <v>665</v>
      </c>
      <c r="G11" s="28" t="s">
        <v>635</v>
      </c>
      <c r="H11" s="14" t="s">
        <v>666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8.0" customHeight="1">
      <c r="A12" s="14">
        <v>11.0</v>
      </c>
      <c r="B12" s="30" t="s">
        <v>643</v>
      </c>
      <c r="C12" s="14" t="s">
        <v>667</v>
      </c>
      <c r="D12" s="14" t="s">
        <v>637</v>
      </c>
      <c r="E12" s="14" t="s">
        <v>668</v>
      </c>
      <c r="F12" s="14" t="s">
        <v>669</v>
      </c>
      <c r="G12" s="28" t="s">
        <v>635</v>
      </c>
      <c r="H12" s="14" t="s">
        <v>670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8.0" customHeight="1">
      <c r="A13" s="14">
        <v>12.0</v>
      </c>
      <c r="B13" s="31" t="s">
        <v>671</v>
      </c>
      <c r="C13" s="14" t="s">
        <v>672</v>
      </c>
      <c r="D13" s="14" t="s">
        <v>637</v>
      </c>
      <c r="E13" s="14" t="s">
        <v>673</v>
      </c>
      <c r="F13" s="14" t="s">
        <v>674</v>
      </c>
      <c r="G13" s="28" t="s">
        <v>635</v>
      </c>
      <c r="H13" s="14" t="s">
        <v>675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8.0" customHeight="1">
      <c r="A14" s="14">
        <v>13.0</v>
      </c>
      <c r="B14" s="30" t="s">
        <v>643</v>
      </c>
      <c r="C14" s="14" t="s">
        <v>676</v>
      </c>
      <c r="D14" s="14" t="s">
        <v>637</v>
      </c>
      <c r="E14" s="14" t="s">
        <v>677</v>
      </c>
      <c r="F14" s="14" t="s">
        <v>678</v>
      </c>
      <c r="G14" s="28" t="s">
        <v>635</v>
      </c>
      <c r="H14" s="14" t="s">
        <v>679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8.0" customHeight="1">
      <c r="A15" s="14">
        <v>14.0</v>
      </c>
      <c r="B15" s="31" t="s">
        <v>671</v>
      </c>
      <c r="C15" s="14" t="s">
        <v>680</v>
      </c>
      <c r="D15" s="14" t="s">
        <v>681</v>
      </c>
      <c r="E15" s="14" t="s">
        <v>682</v>
      </c>
      <c r="F15" s="14" t="s">
        <v>683</v>
      </c>
      <c r="G15" s="28" t="s">
        <v>635</v>
      </c>
      <c r="H15" s="14" t="s">
        <v>684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8.0" customHeight="1">
      <c r="A16" s="14">
        <v>15.0</v>
      </c>
      <c r="B16" s="30" t="s">
        <v>643</v>
      </c>
      <c r="C16" s="14" t="s">
        <v>685</v>
      </c>
      <c r="D16" s="14" t="s">
        <v>637</v>
      </c>
      <c r="E16" s="14" t="s">
        <v>686</v>
      </c>
      <c r="F16" s="14" t="s">
        <v>687</v>
      </c>
      <c r="G16" s="28" t="s">
        <v>635</v>
      </c>
      <c r="H16" s="14" t="s">
        <v>688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8.0" customHeight="1">
      <c r="A17" s="14">
        <v>16.0</v>
      </c>
      <c r="B17" s="29" t="s">
        <v>640</v>
      </c>
      <c r="C17" s="14" t="s">
        <v>685</v>
      </c>
      <c r="D17" s="14" t="s">
        <v>637</v>
      </c>
      <c r="E17" s="14" t="s">
        <v>689</v>
      </c>
      <c r="F17" s="14" t="s">
        <v>690</v>
      </c>
      <c r="G17" s="28" t="s">
        <v>635</v>
      </c>
      <c r="H17" s="14" t="s">
        <v>691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8.0" customHeight="1">
      <c r="A18" s="14">
        <v>17.0</v>
      </c>
      <c r="B18" s="27" t="s">
        <v>640</v>
      </c>
      <c r="C18" s="14" t="s">
        <v>685</v>
      </c>
      <c r="D18" s="14" t="s">
        <v>637</v>
      </c>
      <c r="E18" s="14" t="s">
        <v>692</v>
      </c>
      <c r="F18" s="14" t="s">
        <v>693</v>
      </c>
      <c r="G18" s="28" t="s">
        <v>635</v>
      </c>
      <c r="H18" s="14" t="s">
        <v>694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8.0" customHeight="1">
      <c r="A19" s="14">
        <v>18.0</v>
      </c>
      <c r="B19" s="29" t="s">
        <v>640</v>
      </c>
      <c r="C19" s="14" t="s">
        <v>685</v>
      </c>
      <c r="D19" s="14" t="s">
        <v>695</v>
      </c>
      <c r="E19" s="14" t="s">
        <v>696</v>
      </c>
      <c r="F19" s="14" t="s">
        <v>697</v>
      </c>
      <c r="G19" s="28" t="s">
        <v>635</v>
      </c>
      <c r="H19" s="14" t="s">
        <v>698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8.0" customHeight="1">
      <c r="A20" s="14">
        <v>19.0</v>
      </c>
      <c r="B20" s="27" t="s">
        <v>630</v>
      </c>
      <c r="C20" s="14" t="s">
        <v>685</v>
      </c>
      <c r="D20" s="14" t="s">
        <v>637</v>
      </c>
      <c r="E20" s="14" t="s">
        <v>699</v>
      </c>
      <c r="F20" s="14" t="s">
        <v>700</v>
      </c>
      <c r="G20" s="28" t="s">
        <v>635</v>
      </c>
      <c r="H20" s="14" t="s">
        <v>701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8.0" customHeight="1">
      <c r="A21" s="14">
        <v>20.0</v>
      </c>
      <c r="B21" s="29" t="s">
        <v>640</v>
      </c>
      <c r="C21" s="14" t="s">
        <v>685</v>
      </c>
      <c r="D21" s="14" t="s">
        <v>702</v>
      </c>
      <c r="E21" s="14" t="s">
        <v>703</v>
      </c>
      <c r="F21" s="14" t="s">
        <v>704</v>
      </c>
      <c r="G21" s="28" t="s">
        <v>635</v>
      </c>
      <c r="H21" s="14" t="s">
        <v>705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8.0" customHeight="1">
      <c r="A22" s="14">
        <v>21.0</v>
      </c>
      <c r="B22" s="27" t="s">
        <v>630</v>
      </c>
      <c r="C22" s="14" t="s">
        <v>706</v>
      </c>
      <c r="D22" s="14" t="s">
        <v>707</v>
      </c>
      <c r="E22" s="14" t="s">
        <v>708</v>
      </c>
      <c r="F22" s="14" t="s">
        <v>709</v>
      </c>
      <c r="G22" s="28" t="s">
        <v>635</v>
      </c>
      <c r="H22" s="14" t="s">
        <v>710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8.0" customHeight="1">
      <c r="A23" s="14">
        <v>22.0</v>
      </c>
      <c r="B23" s="30" t="s">
        <v>643</v>
      </c>
      <c r="C23" s="14" t="s">
        <v>711</v>
      </c>
      <c r="D23" s="14" t="s">
        <v>707</v>
      </c>
      <c r="E23" s="14" t="s">
        <v>712</v>
      </c>
      <c r="F23" s="14" t="s">
        <v>709</v>
      </c>
      <c r="G23" s="28" t="s">
        <v>635</v>
      </c>
      <c r="H23" s="14" t="s">
        <v>713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8.0" customHeight="1">
      <c r="A24" s="14">
        <v>23.0</v>
      </c>
      <c r="B24" s="30" t="s">
        <v>643</v>
      </c>
      <c r="C24" s="14" t="s">
        <v>714</v>
      </c>
      <c r="D24" s="14" t="s">
        <v>707</v>
      </c>
      <c r="E24" s="14" t="s">
        <v>715</v>
      </c>
      <c r="F24" s="14" t="s">
        <v>709</v>
      </c>
      <c r="G24" s="28" t="s">
        <v>635</v>
      </c>
      <c r="H24" s="14" t="s">
        <v>716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8.0" customHeight="1">
      <c r="A25" s="14">
        <v>24.0</v>
      </c>
      <c r="B25" s="30" t="s">
        <v>643</v>
      </c>
      <c r="C25" s="14" t="s">
        <v>717</v>
      </c>
      <c r="D25" s="14" t="s">
        <v>707</v>
      </c>
      <c r="E25" s="14" t="s">
        <v>718</v>
      </c>
      <c r="F25" s="14" t="s">
        <v>709</v>
      </c>
      <c r="G25" s="28" t="s">
        <v>635</v>
      </c>
      <c r="H25" s="14" t="s">
        <v>719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8.0" customHeight="1">
      <c r="A26" s="14">
        <v>25.0</v>
      </c>
      <c r="B26" s="29" t="s">
        <v>640</v>
      </c>
      <c r="C26" s="14" t="s">
        <v>720</v>
      </c>
      <c r="D26" s="14" t="s">
        <v>707</v>
      </c>
      <c r="E26" s="22" t="s">
        <v>721</v>
      </c>
      <c r="F26" s="14" t="s">
        <v>709</v>
      </c>
      <c r="G26" s="28" t="s">
        <v>635</v>
      </c>
      <c r="H26" s="14" t="s">
        <v>722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8.0" customHeight="1">
      <c r="A27" s="14">
        <v>26.0</v>
      </c>
      <c r="B27" s="30" t="s">
        <v>643</v>
      </c>
      <c r="C27" s="14" t="s">
        <v>723</v>
      </c>
      <c r="D27" s="14" t="s">
        <v>707</v>
      </c>
      <c r="E27" s="22" t="s">
        <v>724</v>
      </c>
      <c r="F27" s="14" t="s">
        <v>709</v>
      </c>
      <c r="G27" s="28" t="s">
        <v>635</v>
      </c>
      <c r="H27" s="14" t="s">
        <v>725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8.0" customHeight="1">
      <c r="A28" s="14">
        <v>27.0</v>
      </c>
      <c r="B28" s="30" t="s">
        <v>643</v>
      </c>
      <c r="C28" s="14" t="s">
        <v>726</v>
      </c>
      <c r="D28" s="14" t="s">
        <v>707</v>
      </c>
      <c r="E28" s="14" t="s">
        <v>727</v>
      </c>
      <c r="F28" s="14" t="s">
        <v>709</v>
      </c>
      <c r="G28" s="28" t="s">
        <v>635</v>
      </c>
      <c r="H28" s="14" t="s">
        <v>728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8.0" customHeight="1">
      <c r="A29" s="14">
        <v>28.0</v>
      </c>
      <c r="B29" s="31" t="s">
        <v>671</v>
      </c>
      <c r="C29" s="14" t="s">
        <v>729</v>
      </c>
      <c r="D29" s="14" t="s">
        <v>707</v>
      </c>
      <c r="E29" s="14" t="s">
        <v>730</v>
      </c>
      <c r="F29" s="14" t="s">
        <v>709</v>
      </c>
      <c r="G29" s="28" t="s">
        <v>635</v>
      </c>
      <c r="H29" s="14" t="s">
        <v>731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8.0" customHeight="1">
      <c r="A30" s="14">
        <v>29.0</v>
      </c>
      <c r="B30" s="29" t="s">
        <v>640</v>
      </c>
      <c r="C30" s="14" t="s">
        <v>732</v>
      </c>
      <c r="D30" s="14" t="s">
        <v>733</v>
      </c>
      <c r="E30" s="14" t="s">
        <v>734</v>
      </c>
      <c r="F30" s="14" t="s">
        <v>735</v>
      </c>
      <c r="G30" s="28" t="s">
        <v>635</v>
      </c>
      <c r="H30" s="14" t="s">
        <v>736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8.0" customHeight="1">
      <c r="A31" s="14">
        <v>30.0</v>
      </c>
      <c r="B31" s="30" t="s">
        <v>643</v>
      </c>
      <c r="C31" s="14" t="s">
        <v>737</v>
      </c>
      <c r="D31" s="14" t="s">
        <v>707</v>
      </c>
      <c r="E31" s="14" t="s">
        <v>738</v>
      </c>
      <c r="F31" s="14" t="s">
        <v>709</v>
      </c>
      <c r="G31" s="28" t="s">
        <v>635</v>
      </c>
      <c r="H31" s="14" t="s">
        <v>739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8.0" customHeight="1">
      <c r="A32" s="14">
        <v>31.0</v>
      </c>
      <c r="B32" s="29" t="s">
        <v>640</v>
      </c>
      <c r="C32" s="14" t="s">
        <v>740</v>
      </c>
      <c r="D32" s="14" t="s">
        <v>707</v>
      </c>
      <c r="E32" s="14" t="s">
        <v>741</v>
      </c>
      <c r="F32" s="14" t="s">
        <v>709</v>
      </c>
      <c r="G32" s="28" t="s">
        <v>635</v>
      </c>
      <c r="H32" s="14" t="s">
        <v>742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8.0" customHeight="1">
      <c r="A33" s="14">
        <v>32.0</v>
      </c>
      <c r="B33" s="29" t="s">
        <v>640</v>
      </c>
      <c r="C33" s="14" t="s">
        <v>743</v>
      </c>
      <c r="D33" s="14" t="s">
        <v>707</v>
      </c>
      <c r="E33" s="14" t="s">
        <v>744</v>
      </c>
      <c r="F33" s="14" t="s">
        <v>709</v>
      </c>
      <c r="G33" s="28" t="s">
        <v>635</v>
      </c>
      <c r="H33" s="14" t="s">
        <v>745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8.0" customHeight="1">
      <c r="A34" s="14">
        <v>33.0</v>
      </c>
      <c r="B34" s="30" t="s">
        <v>643</v>
      </c>
      <c r="C34" s="14" t="s">
        <v>746</v>
      </c>
      <c r="D34" s="14" t="s">
        <v>707</v>
      </c>
      <c r="E34" s="14" t="s">
        <v>747</v>
      </c>
      <c r="F34" s="14" t="s">
        <v>709</v>
      </c>
      <c r="G34" s="28" t="s">
        <v>635</v>
      </c>
      <c r="H34" s="14" t="s">
        <v>748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8.0" customHeight="1">
      <c r="A35" s="14">
        <v>34.0</v>
      </c>
      <c r="B35" s="30" t="s">
        <v>643</v>
      </c>
      <c r="C35" s="14" t="s">
        <v>749</v>
      </c>
      <c r="D35" s="14" t="s">
        <v>707</v>
      </c>
      <c r="E35" s="14" t="s">
        <v>750</v>
      </c>
      <c r="F35" s="14" t="s">
        <v>709</v>
      </c>
      <c r="G35" s="28" t="s">
        <v>635</v>
      </c>
      <c r="H35" s="14" t="s">
        <v>751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8.0" customHeight="1">
      <c r="A36" s="14">
        <v>35.0</v>
      </c>
      <c r="B36" s="29" t="s">
        <v>640</v>
      </c>
      <c r="C36" s="14" t="s">
        <v>752</v>
      </c>
      <c r="D36" s="14" t="s">
        <v>753</v>
      </c>
      <c r="E36" s="14" t="s">
        <v>754</v>
      </c>
      <c r="F36" s="14" t="s">
        <v>755</v>
      </c>
      <c r="G36" s="28" t="s">
        <v>635</v>
      </c>
      <c r="H36" s="14" t="s">
        <v>756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4">
        <v>36.0</v>
      </c>
      <c r="B37" s="29" t="s">
        <v>640</v>
      </c>
      <c r="C37" s="14" t="s">
        <v>757</v>
      </c>
      <c r="D37" s="14" t="s">
        <v>637</v>
      </c>
      <c r="E37" s="14" t="s">
        <v>758</v>
      </c>
      <c r="F37" s="14" t="s">
        <v>759</v>
      </c>
      <c r="G37" s="28" t="s">
        <v>635</v>
      </c>
      <c r="H37" s="14" t="s">
        <v>760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0" customHeight="1">
      <c r="A38" s="14">
        <v>37.0</v>
      </c>
      <c r="B38" s="27" t="s">
        <v>630</v>
      </c>
      <c r="C38" s="14" t="s">
        <v>761</v>
      </c>
      <c r="D38" s="14" t="s">
        <v>707</v>
      </c>
      <c r="E38" s="14" t="s">
        <v>762</v>
      </c>
      <c r="F38" s="14" t="s">
        <v>709</v>
      </c>
      <c r="G38" s="28" t="s">
        <v>635</v>
      </c>
      <c r="H38" s="14" t="s">
        <v>763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0" customHeight="1">
      <c r="A39" s="14">
        <v>38.0</v>
      </c>
      <c r="B39" s="30" t="s">
        <v>643</v>
      </c>
      <c r="C39" s="14" t="s">
        <v>685</v>
      </c>
      <c r="D39" s="14" t="s">
        <v>637</v>
      </c>
      <c r="E39" s="14" t="s">
        <v>764</v>
      </c>
      <c r="F39" s="14" t="s">
        <v>765</v>
      </c>
      <c r="G39" s="28" t="s">
        <v>635</v>
      </c>
      <c r="H39" s="14" t="s">
        <v>766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0" customHeight="1">
      <c r="A40" s="14">
        <v>39.0</v>
      </c>
      <c r="B40" s="29" t="s">
        <v>640</v>
      </c>
      <c r="C40" s="14" t="s">
        <v>767</v>
      </c>
      <c r="D40" s="14" t="s">
        <v>707</v>
      </c>
      <c r="E40" s="14" t="s">
        <v>768</v>
      </c>
      <c r="F40" s="14" t="s">
        <v>769</v>
      </c>
      <c r="G40" s="28" t="s">
        <v>635</v>
      </c>
      <c r="H40" s="14" t="s">
        <v>770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0" customHeight="1">
      <c r="A41" s="14">
        <v>40.0</v>
      </c>
      <c r="B41" s="30" t="s">
        <v>643</v>
      </c>
      <c r="C41" s="14" t="s">
        <v>771</v>
      </c>
      <c r="D41" s="14" t="s">
        <v>707</v>
      </c>
      <c r="E41" s="14" t="s">
        <v>772</v>
      </c>
      <c r="F41" s="14" t="s">
        <v>773</v>
      </c>
      <c r="G41" s="28" t="s">
        <v>635</v>
      </c>
      <c r="H41" s="14" t="s">
        <v>774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0" customHeight="1">
      <c r="A42" s="14">
        <v>41.0</v>
      </c>
      <c r="B42" s="30" t="s">
        <v>643</v>
      </c>
      <c r="C42" s="14" t="s">
        <v>775</v>
      </c>
      <c r="D42" s="14" t="s">
        <v>707</v>
      </c>
      <c r="E42" s="14" t="s">
        <v>776</v>
      </c>
      <c r="F42" s="14" t="s">
        <v>709</v>
      </c>
      <c r="G42" s="28" t="s">
        <v>635</v>
      </c>
      <c r="H42" s="14" t="s">
        <v>777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4">
        <v>42.0</v>
      </c>
      <c r="B43" s="31" t="s">
        <v>671</v>
      </c>
      <c r="C43" s="14" t="s">
        <v>778</v>
      </c>
      <c r="D43" s="14" t="s">
        <v>707</v>
      </c>
      <c r="E43" s="14" t="s">
        <v>779</v>
      </c>
      <c r="F43" s="14" t="s">
        <v>709</v>
      </c>
      <c r="G43" s="28" t="s">
        <v>635</v>
      </c>
      <c r="H43" s="14" t="s">
        <v>780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4" t="s">
        <v>781</v>
      </c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4" t="s">
        <v>630</v>
      </c>
      <c r="B46" s="30">
        <f>COUNTIF(B2:B43,"최우선")</f>
        <v>7</v>
      </c>
      <c r="C46" s="9"/>
      <c r="D46" s="9"/>
      <c r="E46" s="9"/>
      <c r="F46" s="9"/>
      <c r="G46" s="9"/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4" t="s">
        <v>640</v>
      </c>
      <c r="B47" s="29">
        <f>COUNTIF(B2:B43,"높음")</f>
        <v>15</v>
      </c>
      <c r="C47" s="9"/>
      <c r="D47" s="9"/>
      <c r="E47" s="9"/>
      <c r="F47" s="9"/>
      <c r="G47" s="9"/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4" t="s">
        <v>643</v>
      </c>
      <c r="B48" s="30">
        <f>COUNTIF(B2:B43,"중")</f>
        <v>16</v>
      </c>
      <c r="C48" s="9"/>
      <c r="D48" s="9"/>
      <c r="E48" s="9"/>
      <c r="F48" s="9"/>
      <c r="G48" s="9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4" t="s">
        <v>671</v>
      </c>
      <c r="B49" s="30">
        <f>COUNTIF(B2:B43,"하")</f>
        <v>4</v>
      </c>
      <c r="C49" s="9"/>
      <c r="D49" s="9"/>
      <c r="E49" s="9"/>
      <c r="F49" s="9"/>
      <c r="G49" s="9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H$1"/>
  <printOptions/>
  <pageMargins bottom="1.0" footer="0.0" header="0.0" left="0.75" right="0.75" top="1.0"/>
  <pageSetup paperSize="9" orientation="portrait"/>
  <drawing r:id="rId1"/>
</worksheet>
</file>